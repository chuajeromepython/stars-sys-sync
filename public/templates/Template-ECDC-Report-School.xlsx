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\Documents\Systems\stars\public\templates\"/>
    </mc:Choice>
  </mc:AlternateContent>
  <xr:revisionPtr revIDLastSave="0" documentId="13_ncr:1_{9FCD73F0-805A-4453-A38E-1BE374019319}" xr6:coauthVersionLast="47" xr6:coauthVersionMax="47" xr10:uidLastSave="{00000000-0000-0000-0000-000000000000}"/>
  <bookViews>
    <workbookView xWindow="-120" yWindow="-120" windowWidth="29040" windowHeight="15720" xr2:uid="{7F18C276-C10E-4E4D-9117-A5F1E21D2CE7}"/>
  </bookViews>
  <sheets>
    <sheet name="School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9" i="1" l="1"/>
  <c r="AV29" i="1"/>
  <c r="AT29" i="1"/>
  <c r="AS29" i="1"/>
  <c r="AQ29" i="1"/>
  <c r="AP29" i="1"/>
  <c r="AN29" i="1"/>
  <c r="AM29" i="1"/>
  <c r="AK29" i="1"/>
  <c r="AJ29" i="1"/>
  <c r="AH29" i="1"/>
  <c r="AG29" i="1"/>
  <c r="AE29" i="1"/>
  <c r="AD29" i="1"/>
  <c r="AB29" i="1"/>
  <c r="AA29" i="1"/>
  <c r="Y29" i="1"/>
  <c r="X29" i="1"/>
  <c r="V29" i="1"/>
  <c r="U29" i="1"/>
  <c r="S29" i="1"/>
  <c r="BR29" i="1" s="1"/>
  <c r="R29" i="1"/>
  <c r="BQ29" i="1" s="1"/>
  <c r="P29" i="1"/>
  <c r="BN29" i="1" s="1"/>
  <c r="O29" i="1"/>
  <c r="BM29" i="1" s="1"/>
  <c r="M29" i="1"/>
  <c r="BJ29" i="1" s="1"/>
  <c r="L29" i="1"/>
  <c r="BI29" i="1" s="1"/>
  <c r="J29" i="1"/>
  <c r="BF29" i="1" s="1"/>
  <c r="I29" i="1"/>
  <c r="BE29" i="1" s="1"/>
  <c r="G29" i="1"/>
  <c r="BB29" i="1" s="1"/>
  <c r="F29" i="1"/>
  <c r="BA29" i="1" s="1"/>
  <c r="D29" i="1"/>
  <c r="C29" i="1"/>
  <c r="BS28" i="1"/>
  <c r="BT28" i="1" s="1"/>
  <c r="BR28" i="1"/>
  <c r="BQ28" i="1"/>
  <c r="BO28" i="1"/>
  <c r="BP28" i="1" s="1"/>
  <c r="BN28" i="1"/>
  <c r="BM28" i="1"/>
  <c r="BK28" i="1"/>
  <c r="BL28" i="1" s="1"/>
  <c r="BJ28" i="1"/>
  <c r="BI28" i="1"/>
  <c r="BG28" i="1"/>
  <c r="BH28" i="1" s="1"/>
  <c r="BF28" i="1"/>
  <c r="BE28" i="1"/>
  <c r="BC28" i="1"/>
  <c r="BD28" i="1" s="1"/>
  <c r="BB28" i="1"/>
  <c r="BA28" i="1"/>
  <c r="BS27" i="1"/>
  <c r="BT27" i="1" s="1"/>
  <c r="BR27" i="1"/>
  <c r="BQ27" i="1"/>
  <c r="BO27" i="1"/>
  <c r="BP27" i="1" s="1"/>
  <c r="BN27" i="1"/>
  <c r="BM27" i="1"/>
  <c r="BK27" i="1"/>
  <c r="BL27" i="1" s="1"/>
  <c r="BJ27" i="1"/>
  <c r="BI27" i="1"/>
  <c r="BG27" i="1"/>
  <c r="BH27" i="1" s="1"/>
  <c r="BF27" i="1"/>
  <c r="BE27" i="1"/>
  <c r="BC27" i="1"/>
  <c r="BD27" i="1" s="1"/>
  <c r="BB27" i="1"/>
  <c r="BA27" i="1"/>
  <c r="BS26" i="1"/>
  <c r="BT26" i="1" s="1"/>
  <c r="BR26" i="1"/>
  <c r="BQ26" i="1"/>
  <c r="BO26" i="1"/>
  <c r="BP26" i="1" s="1"/>
  <c r="BN26" i="1"/>
  <c r="BM26" i="1"/>
  <c r="BK26" i="1"/>
  <c r="BL26" i="1" s="1"/>
  <c r="BJ26" i="1"/>
  <c r="BI26" i="1"/>
  <c r="BG26" i="1"/>
  <c r="BH26" i="1" s="1"/>
  <c r="BF26" i="1"/>
  <c r="BE26" i="1"/>
  <c r="BC26" i="1"/>
  <c r="BD26" i="1" s="1"/>
  <c r="BB26" i="1"/>
  <c r="BA26" i="1"/>
  <c r="BS25" i="1"/>
  <c r="BT25" i="1" s="1"/>
  <c r="BR25" i="1"/>
  <c r="BQ25" i="1"/>
  <c r="BO25" i="1"/>
  <c r="BP25" i="1" s="1"/>
  <c r="BN25" i="1"/>
  <c r="BM25" i="1"/>
  <c r="BK25" i="1"/>
  <c r="BL25" i="1" s="1"/>
  <c r="BJ25" i="1"/>
  <c r="BI25" i="1"/>
  <c r="BG25" i="1"/>
  <c r="BH25" i="1" s="1"/>
  <c r="BF25" i="1"/>
  <c r="BE25" i="1"/>
  <c r="BC25" i="1"/>
  <c r="BD25" i="1" s="1"/>
  <c r="BU25" i="1" s="1"/>
  <c r="BB25" i="1"/>
  <c r="BA25" i="1"/>
  <c r="BS24" i="1"/>
  <c r="BT24" i="1" s="1"/>
  <c r="BR24" i="1"/>
  <c r="BQ24" i="1"/>
  <c r="BO24" i="1"/>
  <c r="BP24" i="1" s="1"/>
  <c r="BN24" i="1"/>
  <c r="BM24" i="1"/>
  <c r="BK24" i="1"/>
  <c r="BL24" i="1" s="1"/>
  <c r="BJ24" i="1"/>
  <c r="BI24" i="1"/>
  <c r="BG24" i="1"/>
  <c r="BH24" i="1" s="1"/>
  <c r="BF24" i="1"/>
  <c r="BE24" i="1"/>
  <c r="BC24" i="1"/>
  <c r="BD24" i="1" s="1"/>
  <c r="BU24" i="1" s="1"/>
  <c r="BB24" i="1"/>
  <c r="BA24" i="1"/>
  <c r="BR23" i="1"/>
  <c r="BQ23" i="1"/>
  <c r="BN23" i="1"/>
  <c r="BM23" i="1"/>
  <c r="BJ23" i="1"/>
  <c r="BI23" i="1"/>
  <c r="BF23" i="1"/>
  <c r="BE23" i="1"/>
  <c r="BB23" i="1"/>
  <c r="BA23" i="1"/>
  <c r="AX23" i="1"/>
  <c r="AU23" i="1"/>
  <c r="AR23" i="1"/>
  <c r="AO23" i="1"/>
  <c r="AL23" i="1"/>
  <c r="AI23" i="1"/>
  <c r="AF23" i="1"/>
  <c r="AC23" i="1"/>
  <c r="Z23" i="1"/>
  <c r="T23" i="1"/>
  <c r="BS23" i="1" s="1"/>
  <c r="BT23" i="1" s="1"/>
  <c r="Q23" i="1"/>
  <c r="BO23" i="1" s="1"/>
  <c r="BP23" i="1" s="1"/>
  <c r="N23" i="1"/>
  <c r="BK23" i="1" s="1"/>
  <c r="BL23" i="1" s="1"/>
  <c r="K23" i="1"/>
  <c r="BG23" i="1" s="1"/>
  <c r="BH23" i="1" s="1"/>
  <c r="H23" i="1"/>
  <c r="E23" i="1"/>
  <c r="BR22" i="1"/>
  <c r="BQ22" i="1"/>
  <c r="BN22" i="1"/>
  <c r="BM22" i="1"/>
  <c r="BJ22" i="1"/>
  <c r="BI22" i="1"/>
  <c r="BF22" i="1"/>
  <c r="BE22" i="1"/>
  <c r="BB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BS22" i="1" s="1"/>
  <c r="BT22" i="1" s="1"/>
  <c r="Q22" i="1"/>
  <c r="BO22" i="1" s="1"/>
  <c r="BP22" i="1" s="1"/>
  <c r="N22" i="1"/>
  <c r="BK22" i="1" s="1"/>
  <c r="BL22" i="1" s="1"/>
  <c r="K22" i="1"/>
  <c r="BG22" i="1" s="1"/>
  <c r="BH22" i="1" s="1"/>
  <c r="H22" i="1"/>
  <c r="E22" i="1"/>
  <c r="BS21" i="1"/>
  <c r="BT21" i="1" s="1"/>
  <c r="BR21" i="1"/>
  <c r="BQ21" i="1"/>
  <c r="BO21" i="1"/>
  <c r="BP21" i="1" s="1"/>
  <c r="BN21" i="1"/>
  <c r="BM21" i="1"/>
  <c r="BJ21" i="1"/>
  <c r="BI21" i="1"/>
  <c r="BF21" i="1"/>
  <c r="BE21" i="1"/>
  <c r="BB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BK21" i="1" s="1"/>
  <c r="BL21" i="1" s="1"/>
  <c r="K21" i="1"/>
  <c r="BG21" i="1" s="1"/>
  <c r="BH21" i="1" s="1"/>
  <c r="H21" i="1"/>
  <c r="E21" i="1"/>
  <c r="BR20" i="1"/>
  <c r="BQ20" i="1"/>
  <c r="BN20" i="1"/>
  <c r="BM20" i="1"/>
  <c r="BJ20" i="1"/>
  <c r="BI20" i="1"/>
  <c r="BF20" i="1"/>
  <c r="BE20" i="1"/>
  <c r="BB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BS20" i="1" s="1"/>
  <c r="BT20" i="1" s="1"/>
  <c r="Q20" i="1"/>
  <c r="BO20" i="1" s="1"/>
  <c r="BP20" i="1" s="1"/>
  <c r="N20" i="1"/>
  <c r="BK20" i="1" s="1"/>
  <c r="BL20" i="1" s="1"/>
  <c r="K20" i="1"/>
  <c r="BG20" i="1" s="1"/>
  <c r="BH20" i="1" s="1"/>
  <c r="H20" i="1"/>
  <c r="E20" i="1"/>
  <c r="BR19" i="1"/>
  <c r="BQ19" i="1"/>
  <c r="BN19" i="1"/>
  <c r="BM19" i="1"/>
  <c r="BJ19" i="1"/>
  <c r="BI19" i="1"/>
  <c r="BF19" i="1"/>
  <c r="BE19" i="1"/>
  <c r="BB19" i="1"/>
  <c r="BA19" i="1"/>
  <c r="AX19" i="1"/>
  <c r="AU19" i="1"/>
  <c r="AR19" i="1"/>
  <c r="AO19" i="1"/>
  <c r="AL19" i="1"/>
  <c r="AI19" i="1"/>
  <c r="AF19" i="1"/>
  <c r="BO19" i="1" s="1"/>
  <c r="BP19" i="1" s="1"/>
  <c r="AC19" i="1"/>
  <c r="Z19" i="1"/>
  <c r="W19" i="1"/>
  <c r="T19" i="1"/>
  <c r="BS19" i="1" s="1"/>
  <c r="BT19" i="1" s="1"/>
  <c r="N19" i="1"/>
  <c r="BK19" i="1" s="1"/>
  <c r="BL19" i="1" s="1"/>
  <c r="K19" i="1"/>
  <c r="BG19" i="1" s="1"/>
  <c r="BH19" i="1" s="1"/>
  <c r="H19" i="1"/>
  <c r="E19" i="1"/>
  <c r="BR18" i="1"/>
  <c r="BQ18" i="1"/>
  <c r="BO18" i="1"/>
  <c r="BP18" i="1" s="1"/>
  <c r="BN18" i="1"/>
  <c r="BM18" i="1"/>
  <c r="BJ18" i="1"/>
  <c r="BI18" i="1"/>
  <c r="BF18" i="1"/>
  <c r="BE18" i="1"/>
  <c r="BB18" i="1"/>
  <c r="BA18" i="1"/>
  <c r="AX18" i="1"/>
  <c r="AR18" i="1"/>
  <c r="AO18" i="1"/>
  <c r="AL18" i="1"/>
  <c r="AI18" i="1"/>
  <c r="AC18" i="1"/>
  <c r="BK18" i="1" s="1"/>
  <c r="BL18" i="1" s="1"/>
  <c r="Z18" i="1"/>
  <c r="W18" i="1"/>
  <c r="BC18" i="1" s="1"/>
  <c r="BD18" i="1" s="1"/>
  <c r="T18" i="1"/>
  <c r="BS18" i="1" s="1"/>
  <c r="BT18" i="1" s="1"/>
  <c r="K18" i="1"/>
  <c r="E18" i="1"/>
  <c r="BS17" i="1"/>
  <c r="BT17" i="1" s="1"/>
  <c r="BR17" i="1"/>
  <c r="BQ17" i="1"/>
  <c r="BN17" i="1"/>
  <c r="BM17" i="1"/>
  <c r="BJ17" i="1"/>
  <c r="BI17" i="1"/>
  <c r="BF17" i="1"/>
  <c r="BE17" i="1"/>
  <c r="BB17" i="1"/>
  <c r="BA17" i="1"/>
  <c r="AU17" i="1"/>
  <c r="AR17" i="1"/>
  <c r="AO17" i="1"/>
  <c r="AL17" i="1"/>
  <c r="AF17" i="1"/>
  <c r="AC17" i="1"/>
  <c r="Z17" i="1"/>
  <c r="W17" i="1"/>
  <c r="Q17" i="1"/>
  <c r="BO17" i="1" s="1"/>
  <c r="BP17" i="1" s="1"/>
  <c r="N17" i="1"/>
  <c r="BK17" i="1" s="1"/>
  <c r="BL17" i="1" s="1"/>
  <c r="K17" i="1"/>
  <c r="BG17" i="1" s="1"/>
  <c r="BH17" i="1" s="1"/>
  <c r="H17" i="1"/>
  <c r="E17" i="1"/>
  <c r="BR16" i="1"/>
  <c r="BQ16" i="1"/>
  <c r="BN16" i="1"/>
  <c r="BM16" i="1"/>
  <c r="BJ16" i="1"/>
  <c r="BI16" i="1"/>
  <c r="BF16" i="1"/>
  <c r="BE16" i="1"/>
  <c r="BB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BS16" i="1" s="1"/>
  <c r="BT16" i="1" s="1"/>
  <c r="Q16" i="1"/>
  <c r="BO16" i="1" s="1"/>
  <c r="BP16" i="1" s="1"/>
  <c r="N16" i="1"/>
  <c r="BK16" i="1" s="1"/>
  <c r="BL16" i="1" s="1"/>
  <c r="K16" i="1"/>
  <c r="BG16" i="1" s="1"/>
  <c r="BH16" i="1" s="1"/>
  <c r="H16" i="1"/>
  <c r="E16" i="1"/>
  <c r="BS15" i="1"/>
  <c r="BT15" i="1" s="1"/>
  <c r="BR15" i="1"/>
  <c r="BQ15" i="1"/>
  <c r="BO15" i="1"/>
  <c r="BP15" i="1" s="1"/>
  <c r="BN15" i="1"/>
  <c r="BM15" i="1"/>
  <c r="BJ15" i="1"/>
  <c r="BI15" i="1"/>
  <c r="BF15" i="1"/>
  <c r="BE15" i="1"/>
  <c r="BB15" i="1"/>
  <c r="BA15" i="1"/>
  <c r="AR15" i="1"/>
  <c r="AO15" i="1"/>
  <c r="AL15" i="1"/>
  <c r="AC15" i="1"/>
  <c r="Z15" i="1"/>
  <c r="W15" i="1"/>
  <c r="N15" i="1"/>
  <c r="BK15" i="1" s="1"/>
  <c r="BL15" i="1" s="1"/>
  <c r="K15" i="1"/>
  <c r="BG15" i="1" s="1"/>
  <c r="BH15" i="1" s="1"/>
  <c r="H15" i="1"/>
  <c r="E15" i="1"/>
  <c r="BS14" i="1"/>
  <c r="BT14" i="1" s="1"/>
  <c r="BR14" i="1"/>
  <c r="BQ14" i="1"/>
  <c r="BO14" i="1"/>
  <c r="BP14" i="1" s="1"/>
  <c r="BN14" i="1"/>
  <c r="BM14" i="1"/>
  <c r="BK14" i="1"/>
  <c r="BL14" i="1" s="1"/>
  <c r="BJ14" i="1"/>
  <c r="BI14" i="1"/>
  <c r="BF14" i="1"/>
  <c r="BE14" i="1"/>
  <c r="BB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BG14" i="1" s="1"/>
  <c r="BH14" i="1" s="1"/>
  <c r="H14" i="1"/>
  <c r="E14" i="1"/>
  <c r="BR13" i="1"/>
  <c r="BQ13" i="1"/>
  <c r="BN13" i="1"/>
  <c r="BM13" i="1"/>
  <c r="BJ13" i="1"/>
  <c r="BI13" i="1"/>
  <c r="BF13" i="1"/>
  <c r="BE13" i="1"/>
  <c r="BB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BS13" i="1" s="1"/>
  <c r="BT13" i="1" s="1"/>
  <c r="Q13" i="1"/>
  <c r="BO13" i="1" s="1"/>
  <c r="BP13" i="1" s="1"/>
  <c r="N13" i="1"/>
  <c r="BK13" i="1" s="1"/>
  <c r="BL13" i="1" s="1"/>
  <c r="K13" i="1"/>
  <c r="BG13" i="1" s="1"/>
  <c r="BH13" i="1" s="1"/>
  <c r="H13" i="1"/>
  <c r="E13" i="1"/>
  <c r="BR12" i="1"/>
  <c r="BQ12" i="1"/>
  <c r="BN12" i="1"/>
  <c r="BM12" i="1"/>
  <c r="BJ12" i="1"/>
  <c r="BI12" i="1"/>
  <c r="BF12" i="1"/>
  <c r="BE12" i="1"/>
  <c r="BB12" i="1"/>
  <c r="BA12" i="1"/>
  <c r="AX12" i="1"/>
  <c r="AU12" i="1"/>
  <c r="AR12" i="1"/>
  <c r="AO12" i="1"/>
  <c r="AL12" i="1"/>
  <c r="AI12" i="1"/>
  <c r="AF12" i="1"/>
  <c r="BO12" i="1" s="1"/>
  <c r="BP12" i="1" s="1"/>
  <c r="AC12" i="1"/>
  <c r="BK12" i="1" s="1"/>
  <c r="BL12" i="1" s="1"/>
  <c r="Z12" i="1"/>
  <c r="BG12" i="1" s="1"/>
  <c r="BH12" i="1" s="1"/>
  <c r="W12" i="1"/>
  <c r="T12" i="1"/>
  <c r="BS12" i="1" s="1"/>
  <c r="BT12" i="1" s="1"/>
  <c r="H12" i="1"/>
  <c r="E12" i="1"/>
  <c r="BR11" i="1"/>
  <c r="BQ11" i="1"/>
  <c r="BN11" i="1"/>
  <c r="BM11" i="1"/>
  <c r="BJ11" i="1"/>
  <c r="BI11" i="1"/>
  <c r="BF11" i="1"/>
  <c r="BE11" i="1"/>
  <c r="BB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BS11" i="1" s="1"/>
  <c r="BT11" i="1" s="1"/>
  <c r="Q11" i="1"/>
  <c r="BO11" i="1" s="1"/>
  <c r="BP11" i="1" s="1"/>
  <c r="N11" i="1"/>
  <c r="BK11" i="1" s="1"/>
  <c r="BL11" i="1" s="1"/>
  <c r="K11" i="1"/>
  <c r="BG11" i="1" s="1"/>
  <c r="BH11" i="1" s="1"/>
  <c r="H11" i="1"/>
  <c r="E11" i="1"/>
  <c r="BR10" i="1"/>
  <c r="BQ10" i="1"/>
  <c r="BN10" i="1"/>
  <c r="BM10" i="1"/>
  <c r="BJ10" i="1"/>
  <c r="BI10" i="1"/>
  <c r="BF10" i="1"/>
  <c r="BE10" i="1"/>
  <c r="BB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BS10" i="1" s="1"/>
  <c r="BT10" i="1" s="1"/>
  <c r="Q10" i="1"/>
  <c r="BO10" i="1" s="1"/>
  <c r="BP10" i="1" s="1"/>
  <c r="N10" i="1"/>
  <c r="BK10" i="1" s="1"/>
  <c r="BL10" i="1" s="1"/>
  <c r="K10" i="1"/>
  <c r="BG10" i="1" s="1"/>
  <c r="BH10" i="1" s="1"/>
  <c r="H10" i="1"/>
  <c r="E10" i="1"/>
  <c r="BR9" i="1"/>
  <c r="BQ9" i="1"/>
  <c r="BN9" i="1"/>
  <c r="BM9" i="1"/>
  <c r="BJ9" i="1"/>
  <c r="BI9" i="1"/>
  <c r="BF9" i="1"/>
  <c r="BE9" i="1"/>
  <c r="BB9" i="1"/>
  <c r="BA9" i="1"/>
  <c r="AX9" i="1"/>
  <c r="AX29" i="1" s="1"/>
  <c r="AU9" i="1"/>
  <c r="AU29" i="1" s="1"/>
  <c r="AR9" i="1"/>
  <c r="AR29" i="1" s="1"/>
  <c r="AO9" i="1"/>
  <c r="AO29" i="1" s="1"/>
  <c r="AL9" i="1"/>
  <c r="AL29" i="1" s="1"/>
  <c r="AI9" i="1"/>
  <c r="AI29" i="1" s="1"/>
  <c r="AF9" i="1"/>
  <c r="AF29" i="1" s="1"/>
  <c r="AC9" i="1"/>
  <c r="AC29" i="1" s="1"/>
  <c r="Z9" i="1"/>
  <c r="Z29" i="1" s="1"/>
  <c r="W9" i="1"/>
  <c r="W29" i="1" s="1"/>
  <c r="T9" i="1"/>
  <c r="Q9" i="1"/>
  <c r="N9" i="1"/>
  <c r="K9" i="1"/>
  <c r="H9" i="1"/>
  <c r="E9" i="1"/>
  <c r="E29" i="1" s="1"/>
  <c r="AZ23" i="1" l="1"/>
  <c r="BC23" i="1"/>
  <c r="BD23" i="1" s="1"/>
  <c r="BU23" i="1" s="1"/>
  <c r="BC22" i="1"/>
  <c r="BD22" i="1" s="1"/>
  <c r="BU22" i="1" s="1"/>
  <c r="AZ22" i="1"/>
  <c r="AZ21" i="1"/>
  <c r="BC21" i="1"/>
  <c r="BD21" i="1" s="1"/>
  <c r="BU21" i="1" s="1"/>
  <c r="BC20" i="1"/>
  <c r="BD20" i="1" s="1"/>
  <c r="BU20" i="1" s="1"/>
  <c r="AZ20" i="1"/>
  <c r="AZ19" i="1"/>
  <c r="BC19" i="1"/>
  <c r="BD19" i="1" s="1"/>
  <c r="BU19" i="1" s="1"/>
  <c r="AZ18" i="1"/>
  <c r="BG18" i="1"/>
  <c r="BH18" i="1" s="1"/>
  <c r="BU18" i="1" s="1"/>
  <c r="AZ17" i="1"/>
  <c r="BC17" i="1"/>
  <c r="BD17" i="1" s="1"/>
  <c r="BU17" i="1" s="1"/>
  <c r="AZ16" i="1"/>
  <c r="BC16" i="1"/>
  <c r="BD16" i="1" s="1"/>
  <c r="BU16" i="1" s="1"/>
  <c r="BC15" i="1"/>
  <c r="BD15" i="1" s="1"/>
  <c r="BU15" i="1" s="1"/>
  <c r="AZ15" i="1"/>
  <c r="AZ14" i="1"/>
  <c r="BC14" i="1"/>
  <c r="BD14" i="1" s="1"/>
  <c r="BU14" i="1" s="1"/>
  <c r="BC13" i="1"/>
  <c r="BD13" i="1" s="1"/>
  <c r="BU13" i="1" s="1"/>
  <c r="AZ13" i="1"/>
  <c r="AZ12" i="1"/>
  <c r="BC12" i="1"/>
  <c r="BD12" i="1" s="1"/>
  <c r="BU12" i="1" s="1"/>
  <c r="BC11" i="1"/>
  <c r="BD11" i="1" s="1"/>
  <c r="BU11" i="1" s="1"/>
  <c r="AZ11" i="1"/>
  <c r="AZ10" i="1"/>
  <c r="BC10" i="1"/>
  <c r="BD10" i="1" s="1"/>
  <c r="BU10" i="1" s="1"/>
  <c r="T29" i="1"/>
  <c r="BS29" i="1" s="1"/>
  <c r="BT29" i="1" s="1"/>
  <c r="BS9" i="1"/>
  <c r="BT9" i="1" s="1"/>
  <c r="Q29" i="1"/>
  <c r="BO29" i="1" s="1"/>
  <c r="BP29" i="1" s="1"/>
  <c r="BO9" i="1"/>
  <c r="BP9" i="1" s="1"/>
  <c r="BK9" i="1"/>
  <c r="BL9" i="1" s="1"/>
  <c r="N29" i="1"/>
  <c r="BK29" i="1" s="1"/>
  <c r="BL29" i="1" s="1"/>
  <c r="K29" i="1"/>
  <c r="BG29" i="1" s="1"/>
  <c r="BH29" i="1" s="1"/>
  <c r="BG9" i="1"/>
  <c r="BH9" i="1" s="1"/>
  <c r="AZ9" i="1"/>
  <c r="H29" i="1"/>
  <c r="BC9" i="1"/>
  <c r="BD9" i="1" s="1"/>
  <c r="BU9" i="1" s="1"/>
  <c r="BU26" i="1"/>
  <c r="BU28" i="1"/>
  <c r="BU27" i="1"/>
  <c r="BC29" i="1" l="1"/>
  <c r="BD29" i="1" s="1"/>
  <c r="BU29" i="1" s="1"/>
  <c r="AZ29" i="1"/>
</calcChain>
</file>

<file path=xl/sharedStrings.xml><?xml version="1.0" encoding="utf-8"?>
<sst xmlns="http://schemas.openxmlformats.org/spreadsheetml/2006/main" count="103" uniqueCount="29">
  <si>
    <t>SCHOOLS DIVISION OFFICE OF LAGUNA</t>
  </si>
  <si>
    <t>Nagcarlan Sub-Office</t>
  </si>
  <si>
    <t>Crisanto Guysayko Memorial Elementary School</t>
  </si>
  <si>
    <t>EARLY CHILDHOOD DEVELOPMENT CHECKLIST CONSOLIDATED REPORT</t>
  </si>
  <si>
    <t>Beginning of the School Year (BOSY) ECD Assessment 2026-2027</t>
  </si>
  <si>
    <t xml:space="preserve">No. </t>
  </si>
  <si>
    <t>SECTION</t>
  </si>
  <si>
    <t>ENROLMENT</t>
  </si>
  <si>
    <t xml:space="preserve"> Age 4.1 - 5.0</t>
  </si>
  <si>
    <t xml:space="preserve"> Age 5.1. - 5.11</t>
  </si>
  <si>
    <t xml:space="preserve"> Age 6.0-6.11</t>
  </si>
  <si>
    <t>TOTAL MUST TALLY WITH THE NUMBER OF ENROLLMENT</t>
  </si>
  <si>
    <t>Interpretation</t>
  </si>
  <si>
    <t>SIGNIFICANT DELAY (D)</t>
  </si>
  <si>
    <t>SLIGHT DELAY (SD)</t>
  </si>
  <si>
    <t>AVERAGE (A)</t>
  </si>
  <si>
    <t xml:space="preserve"> SLIGHTLY ADVANCE DEVELOPMENT (SA)</t>
  </si>
  <si>
    <t>HIGHLY ADVANCE DEVELOPMENT (HA)</t>
  </si>
  <si>
    <t>% of the total enrolment fell under  SIGNIFICANT DELAY (D)</t>
  </si>
  <si>
    <t>% of the total enrolment fell under  SLIGHT DELAY (SD)</t>
  </si>
  <si>
    <t>% of the total enrolment fell under  AVERAGE (A)</t>
  </si>
  <si>
    <t xml:space="preserve"> % of the total enrolment fell under   SLIGHTLY ADVANCE DEVELOPMENT (SA)</t>
  </si>
  <si>
    <t>% of the total enrolment fell under  HIGHLY ADVANCE DEVELOPMENT (HA)</t>
  </si>
  <si>
    <t>% of the total enrolment has undergone the ECCD Testing</t>
  </si>
  <si>
    <t>M</t>
  </si>
  <si>
    <t xml:space="preserve">F </t>
  </si>
  <si>
    <t xml:space="preserve">T 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</si>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</sst>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b/>
      <sz val="20"/>
      <color rgb="FFFF0000"/>
      <name val="Arial Black"/>
      <family val="2"/>
    </font>
    <font>
      <b/>
      <sz val="24"/>
      <color rgb="FF00B050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22"/>
      <color theme="1"/>
      <name val="Aptos Narrow"/>
      <family val="2"/>
      <scheme val="minor"/>
    </font>
    <font>
      <sz val="9"/>
      <name val="Calibri"/>
      <family val="2"/>
    </font>
    <font>
      <sz val="11"/>
      <color theme="1"/>
      <name val="Cambria"/>
      <family val="1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4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0" borderId="5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2" fillId="14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3" fillId="10" borderId="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0" fillId="0" borderId="9" xfId="0" applyBorder="1"/>
    <xf numFmtId="0" fontId="13" fillId="0" borderId="9" xfId="0" applyFont="1" applyBorder="1"/>
    <xf numFmtId="0" fontId="15" fillId="0" borderId="9" xfId="0" applyFont="1" applyBorder="1" applyAlignment="1">
      <alignment wrapText="1"/>
    </xf>
    <xf numFmtId="0" fontId="13" fillId="0" borderId="2" xfId="0" applyFont="1" applyBorder="1"/>
    <xf numFmtId="0" fontId="13" fillId="0" borderId="3" xfId="0" applyFont="1" applyBorder="1"/>
    <xf numFmtId="0" fontId="13" fillId="2" borderId="3" xfId="0" applyFont="1" applyFill="1" applyBorder="1"/>
    <xf numFmtId="0" fontId="13" fillId="8" borderId="3" xfId="0" applyFont="1" applyFill="1" applyBorder="1"/>
    <xf numFmtId="0" fontId="13" fillId="9" borderId="3" xfId="0" applyFont="1" applyFill="1" applyBorder="1"/>
    <xf numFmtId="0" fontId="13" fillId="10" borderId="3" xfId="0" applyFont="1" applyFill="1" applyBorder="1"/>
    <xf numFmtId="0" fontId="13" fillId="11" borderId="3" xfId="0" applyFont="1" applyFill="1" applyBorder="1"/>
    <xf numFmtId="1" fontId="13" fillId="0" borderId="3" xfId="0" applyNumberFormat="1" applyFont="1" applyBorder="1"/>
    <xf numFmtId="0" fontId="13" fillId="12" borderId="3" xfId="0" applyFont="1" applyFill="1" applyBorder="1"/>
    <xf numFmtId="0" fontId="0" fillId="0" borderId="1" xfId="0" applyBorder="1"/>
    <xf numFmtId="0" fontId="13" fillId="16" borderId="9" xfId="0" applyFont="1" applyFill="1" applyBorder="1"/>
    <xf numFmtId="0" fontId="16" fillId="17" borderId="10" xfId="0" applyFont="1" applyFill="1" applyBorder="1" applyAlignment="1">
      <alignment horizontal="center"/>
    </xf>
    <xf numFmtId="0" fontId="17" fillId="0" borderId="10" xfId="0" applyFont="1" applyBorder="1"/>
    <xf numFmtId="0" fontId="16" fillId="17" borderId="3" xfId="0" applyFont="1" applyFill="1" applyBorder="1"/>
    <xf numFmtId="1" fontId="16" fillId="17" borderId="3" xfId="0" applyNumberFormat="1" applyFont="1" applyFill="1" applyBorder="1"/>
    <xf numFmtId="0" fontId="18" fillId="18" borderId="1" xfId="0" applyFont="1" applyFill="1" applyBorder="1"/>
    <xf numFmtId="0" fontId="6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7C79-35A0-443F-ADA1-3574CC10B4A7}">
  <dimension ref="A1:BU29"/>
  <sheetViews>
    <sheetView tabSelected="1" workbookViewId="0">
      <selection sqref="A1:BU29"/>
    </sheetView>
  </sheetViews>
  <sheetFormatPr defaultRowHeight="15" x14ac:dyDescent="0.25"/>
  <sheetData>
    <row r="1" spans="1:73" ht="31.5" x14ac:dyDescent="0.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</row>
    <row r="2" spans="1:73" ht="31.5" x14ac:dyDescent="0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</row>
    <row r="3" spans="1:73" ht="31.5" x14ac:dyDescent="0.5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</row>
    <row r="4" spans="1:73" ht="31.5" x14ac:dyDescent="0.6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</row>
    <row r="5" spans="1:73" ht="31.5" x14ac:dyDescent="0.5">
      <c r="A5" s="54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</row>
    <row r="6" spans="1:73" ht="29.25" thickBot="1" x14ac:dyDescent="0.5">
      <c r="A6" s="55" t="s">
        <v>5</v>
      </c>
      <c r="B6" s="57" t="s">
        <v>6</v>
      </c>
      <c r="C6" s="59" t="s">
        <v>7</v>
      </c>
      <c r="D6" s="59"/>
      <c r="E6" s="59"/>
      <c r="F6" s="60" t="s">
        <v>8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2" t="s">
        <v>9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47" t="s">
        <v>10</v>
      </c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Z6" s="49" t="s">
        <v>11</v>
      </c>
      <c r="BA6" s="51" t="s">
        <v>12</v>
      </c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</row>
    <row r="7" spans="1:73" ht="114" x14ac:dyDescent="0.25">
      <c r="A7" s="55"/>
      <c r="B7" s="57"/>
      <c r="C7" s="59"/>
      <c r="D7" s="59"/>
      <c r="E7" s="59"/>
      <c r="F7" s="45" t="s">
        <v>13</v>
      </c>
      <c r="G7" s="38"/>
      <c r="H7" s="38"/>
      <c r="I7" s="46" t="s">
        <v>14</v>
      </c>
      <c r="J7" s="38"/>
      <c r="K7" s="38"/>
      <c r="L7" s="44" t="s">
        <v>15</v>
      </c>
      <c r="M7" s="38"/>
      <c r="N7" s="38"/>
      <c r="O7" s="37" t="s">
        <v>16</v>
      </c>
      <c r="P7" s="38"/>
      <c r="Q7" s="38"/>
      <c r="R7" s="39" t="s">
        <v>17</v>
      </c>
      <c r="S7" s="38"/>
      <c r="T7" s="38"/>
      <c r="U7" s="45" t="s">
        <v>13</v>
      </c>
      <c r="V7" s="38"/>
      <c r="W7" s="38"/>
      <c r="X7" s="46" t="s">
        <v>14</v>
      </c>
      <c r="Y7" s="38"/>
      <c r="Z7" s="38"/>
      <c r="AA7" s="44" t="s">
        <v>15</v>
      </c>
      <c r="AB7" s="38"/>
      <c r="AC7" s="38"/>
      <c r="AD7" s="37" t="s">
        <v>16</v>
      </c>
      <c r="AE7" s="38"/>
      <c r="AF7" s="38"/>
      <c r="AG7" s="39" t="s">
        <v>17</v>
      </c>
      <c r="AH7" s="38"/>
      <c r="AI7" s="38"/>
      <c r="AJ7" s="45" t="s">
        <v>13</v>
      </c>
      <c r="AK7" s="38"/>
      <c r="AL7" s="38"/>
      <c r="AM7" s="46" t="s">
        <v>14</v>
      </c>
      <c r="AN7" s="38"/>
      <c r="AO7" s="38"/>
      <c r="AP7" s="44" t="s">
        <v>15</v>
      </c>
      <c r="AQ7" s="38"/>
      <c r="AR7" s="38"/>
      <c r="AS7" s="37" t="s">
        <v>16</v>
      </c>
      <c r="AT7" s="38"/>
      <c r="AU7" s="38"/>
      <c r="AV7" s="39" t="s">
        <v>17</v>
      </c>
      <c r="AW7" s="38"/>
      <c r="AX7" s="38"/>
      <c r="AZ7" s="49"/>
      <c r="BA7" s="40" t="s">
        <v>18</v>
      </c>
      <c r="BB7" s="36"/>
      <c r="BC7" s="36"/>
      <c r="BD7" s="36"/>
      <c r="BE7" s="41" t="s">
        <v>19</v>
      </c>
      <c r="BF7" s="36"/>
      <c r="BG7" s="36"/>
      <c r="BH7" s="36"/>
      <c r="BI7" s="42" t="s">
        <v>20</v>
      </c>
      <c r="BJ7" s="36"/>
      <c r="BK7" s="36"/>
      <c r="BL7" s="36"/>
      <c r="BM7" s="43" t="s">
        <v>21</v>
      </c>
      <c r="BN7" s="43"/>
      <c r="BO7" s="36"/>
      <c r="BP7" s="36"/>
      <c r="BQ7" s="35" t="s">
        <v>22</v>
      </c>
      <c r="BR7" s="36"/>
      <c r="BS7" s="36"/>
      <c r="BT7" s="36"/>
      <c r="BU7" s="1" t="s">
        <v>23</v>
      </c>
    </row>
    <row r="8" spans="1:73" ht="21" x14ac:dyDescent="0.35">
      <c r="A8" s="56"/>
      <c r="B8" s="58"/>
      <c r="C8" s="2" t="s">
        <v>24</v>
      </c>
      <c r="D8" s="2" t="s">
        <v>25</v>
      </c>
      <c r="E8" s="3" t="s">
        <v>26</v>
      </c>
      <c r="F8" s="2" t="s">
        <v>24</v>
      </c>
      <c r="G8" s="2" t="s">
        <v>25</v>
      </c>
      <c r="H8" s="4" t="s">
        <v>26</v>
      </c>
      <c r="I8" s="2" t="s">
        <v>24</v>
      </c>
      <c r="J8" s="2" t="s">
        <v>25</v>
      </c>
      <c r="K8" s="5" t="s">
        <v>26</v>
      </c>
      <c r="L8" s="2" t="s">
        <v>24</v>
      </c>
      <c r="M8" s="2" t="s">
        <v>25</v>
      </c>
      <c r="N8" s="6" t="s">
        <v>26</v>
      </c>
      <c r="O8" s="2" t="s">
        <v>24</v>
      </c>
      <c r="P8" s="2" t="s">
        <v>25</v>
      </c>
      <c r="Q8" s="7" t="s">
        <v>26</v>
      </c>
      <c r="R8" s="2" t="s">
        <v>24</v>
      </c>
      <c r="S8" s="2" t="s">
        <v>25</v>
      </c>
      <c r="T8" s="8" t="s">
        <v>26</v>
      </c>
      <c r="U8" s="2" t="s">
        <v>24</v>
      </c>
      <c r="V8" s="2" t="s">
        <v>25</v>
      </c>
      <c r="W8" s="4" t="s">
        <v>26</v>
      </c>
      <c r="X8" s="2" t="s">
        <v>24</v>
      </c>
      <c r="Y8" s="2" t="s">
        <v>25</v>
      </c>
      <c r="Z8" s="5" t="s">
        <v>26</v>
      </c>
      <c r="AA8" s="2" t="s">
        <v>24</v>
      </c>
      <c r="AB8" s="2" t="s">
        <v>25</v>
      </c>
      <c r="AC8" s="6" t="s">
        <v>26</v>
      </c>
      <c r="AD8" s="2" t="s">
        <v>24</v>
      </c>
      <c r="AE8" s="2" t="s">
        <v>25</v>
      </c>
      <c r="AF8" s="7" t="s">
        <v>26</v>
      </c>
      <c r="AG8" s="2" t="s">
        <v>24</v>
      </c>
      <c r="AH8" s="2" t="s">
        <v>25</v>
      </c>
      <c r="AI8" s="8" t="s">
        <v>26</v>
      </c>
      <c r="AJ8" s="2" t="s">
        <v>24</v>
      </c>
      <c r="AK8" s="2" t="s">
        <v>25</v>
      </c>
      <c r="AL8" s="4" t="s">
        <v>26</v>
      </c>
      <c r="AM8" s="2" t="s">
        <v>24</v>
      </c>
      <c r="AN8" s="2" t="s">
        <v>25</v>
      </c>
      <c r="AO8" s="5" t="s">
        <v>26</v>
      </c>
      <c r="AP8" s="2" t="s">
        <v>24</v>
      </c>
      <c r="AQ8" s="2" t="s">
        <v>25</v>
      </c>
      <c r="AR8" s="6" t="s">
        <v>26</v>
      </c>
      <c r="AS8" s="2" t="s">
        <v>24</v>
      </c>
      <c r="AT8" s="2" t="s">
        <v>25</v>
      </c>
      <c r="AU8" s="7" t="s">
        <v>26</v>
      </c>
      <c r="AV8" s="2" t="s">
        <v>24</v>
      </c>
      <c r="AW8" s="2" t="s">
        <v>25</v>
      </c>
      <c r="AX8" s="8" t="s">
        <v>26</v>
      </c>
      <c r="AZ8" s="50"/>
      <c r="BA8" s="9" t="s">
        <v>24</v>
      </c>
      <c r="BB8" s="9" t="s">
        <v>25</v>
      </c>
      <c r="BC8" s="10" t="s">
        <v>26</v>
      </c>
      <c r="BD8" s="11" t="s">
        <v>27</v>
      </c>
      <c r="BE8" s="9" t="s">
        <v>24</v>
      </c>
      <c r="BF8" s="9" t="s">
        <v>25</v>
      </c>
      <c r="BG8" s="12" t="s">
        <v>26</v>
      </c>
      <c r="BH8" s="11" t="s">
        <v>27</v>
      </c>
      <c r="BI8" s="9" t="s">
        <v>24</v>
      </c>
      <c r="BJ8" s="9" t="s">
        <v>25</v>
      </c>
      <c r="BK8" s="13" t="s">
        <v>26</v>
      </c>
      <c r="BL8" s="11" t="s">
        <v>27</v>
      </c>
      <c r="BM8" s="9" t="s">
        <v>24</v>
      </c>
      <c r="BN8" s="9" t="s">
        <v>25</v>
      </c>
      <c r="BO8" s="14" t="s">
        <v>26</v>
      </c>
      <c r="BP8" s="11" t="s">
        <v>27</v>
      </c>
      <c r="BQ8" s="9" t="s">
        <v>24</v>
      </c>
      <c r="BR8" s="9" t="s">
        <v>25</v>
      </c>
      <c r="BS8" s="15" t="s">
        <v>26</v>
      </c>
      <c r="BT8" s="11" t="s">
        <v>27</v>
      </c>
      <c r="BU8" s="16"/>
    </row>
    <row r="9" spans="1:73" ht="16.5" x14ac:dyDescent="0.3">
      <c r="A9" s="17">
        <v>1</v>
      </c>
      <c r="B9" s="18"/>
      <c r="C9" s="19">
        <v>53</v>
      </c>
      <c r="D9" s="20">
        <v>47</v>
      </c>
      <c r="E9" s="21">
        <f>SUM(C9:D9)</f>
        <v>100</v>
      </c>
      <c r="F9" s="20">
        <v>2</v>
      </c>
      <c r="G9" s="20">
        <v>0</v>
      </c>
      <c r="H9" s="22">
        <f t="shared" ref="H9:H19" si="0">SUM(F9:G9)</f>
        <v>2</v>
      </c>
      <c r="I9" s="20">
        <v>4</v>
      </c>
      <c r="J9" s="20">
        <v>3</v>
      </c>
      <c r="K9" s="23">
        <f t="shared" ref="K9:K23" si="1">SUM(I9:J9)</f>
        <v>7</v>
      </c>
      <c r="L9" s="20">
        <v>20</v>
      </c>
      <c r="M9" s="20">
        <v>18</v>
      </c>
      <c r="N9" s="24">
        <f t="shared" ref="N9:N21" si="2">SUM(L9:M9)</f>
        <v>38</v>
      </c>
      <c r="O9" s="20">
        <v>0</v>
      </c>
      <c r="P9" s="20">
        <v>0</v>
      </c>
      <c r="Q9" s="25">
        <f t="shared" ref="Q9:Q14" si="3">SUM(O9:P9)</f>
        <v>0</v>
      </c>
      <c r="R9" s="20">
        <v>0</v>
      </c>
      <c r="S9" s="26">
        <v>0</v>
      </c>
      <c r="T9" s="27">
        <f t="shared" ref="T9:T12" si="4">SUM(R9:S9)</f>
        <v>0</v>
      </c>
      <c r="U9" s="20">
        <v>3</v>
      </c>
      <c r="V9" s="20">
        <v>0</v>
      </c>
      <c r="W9" s="22">
        <f t="shared" ref="W9:W19" si="5">SUM(U9:V9)</f>
        <v>3</v>
      </c>
      <c r="X9" s="20">
        <v>8</v>
      </c>
      <c r="Y9" s="20">
        <v>8</v>
      </c>
      <c r="Z9" s="23">
        <f t="shared" ref="Z9:Z23" si="6">SUM(X9:Y9)</f>
        <v>16</v>
      </c>
      <c r="AA9" s="20">
        <v>19</v>
      </c>
      <c r="AB9" s="20">
        <v>12</v>
      </c>
      <c r="AC9" s="24">
        <f t="shared" ref="AC9:AC23" si="7">SUM(AA9:AB9)</f>
        <v>31</v>
      </c>
      <c r="AD9" s="20">
        <v>0</v>
      </c>
      <c r="AE9" s="20">
        <v>0</v>
      </c>
      <c r="AF9" s="25">
        <f t="shared" ref="AF9:AF14" si="8">SUM(AD9:AE9)</f>
        <v>0</v>
      </c>
      <c r="AG9" s="20">
        <v>0</v>
      </c>
      <c r="AH9" s="26">
        <v>0</v>
      </c>
      <c r="AI9" s="27">
        <f t="shared" ref="AI9:AI12" si="9">SUM(AG9:AH9)</f>
        <v>0</v>
      </c>
      <c r="AJ9" s="20">
        <v>0</v>
      </c>
      <c r="AK9" s="20">
        <v>0</v>
      </c>
      <c r="AL9" s="22">
        <f t="shared" ref="AL9:AL19" si="10">SUM(AJ9:AK9)</f>
        <v>0</v>
      </c>
      <c r="AM9" s="20">
        <v>0</v>
      </c>
      <c r="AN9" s="20">
        <v>0</v>
      </c>
      <c r="AO9" s="23">
        <f t="shared" ref="AO9:AO23" si="11">SUM(AM9:AN9)</f>
        <v>0</v>
      </c>
      <c r="AP9" s="20">
        <v>2</v>
      </c>
      <c r="AQ9" s="20">
        <v>1</v>
      </c>
      <c r="AR9" s="24">
        <f t="shared" ref="AR9:AR23" si="12">SUM(AP9:AQ9)</f>
        <v>3</v>
      </c>
      <c r="AS9" s="20">
        <v>0</v>
      </c>
      <c r="AT9" s="20">
        <v>0</v>
      </c>
      <c r="AU9" s="25">
        <f t="shared" ref="AU9:AU14" si="13">SUM(AS9:AT9)</f>
        <v>0</v>
      </c>
      <c r="AV9" s="20">
        <v>0</v>
      </c>
      <c r="AW9" s="26">
        <v>0</v>
      </c>
      <c r="AX9" s="27">
        <f t="shared" ref="AX9:AX12" si="14">SUM(AV9:AW9)</f>
        <v>0</v>
      </c>
      <c r="AZ9" s="28">
        <f>H9+K9+N9+Q9+T9+W9+Z9+AC9+AF9+AI9+AL9+AO9+AR9+AU9+AX9</f>
        <v>100</v>
      </c>
      <c r="BA9" s="16">
        <f>F9+U9+AJ9</f>
        <v>5</v>
      </c>
      <c r="BB9" s="16">
        <f>G9+V9+AK9</f>
        <v>0</v>
      </c>
      <c r="BC9" s="16">
        <f>H9+W9+AL9</f>
        <v>5</v>
      </c>
      <c r="BD9" s="16">
        <f>ROUND((BC9/E9)*100,0)</f>
        <v>5</v>
      </c>
      <c r="BE9" s="16">
        <f>I9+X9+AM9</f>
        <v>12</v>
      </c>
      <c r="BF9" s="16">
        <f>J9+Y9+AN9</f>
        <v>11</v>
      </c>
      <c r="BG9" s="16">
        <f>K9+Z9+AO9</f>
        <v>23</v>
      </c>
      <c r="BH9" s="16">
        <f>ROUND((BG9/E9)*100,0)</f>
        <v>23</v>
      </c>
      <c r="BI9" s="16">
        <f>L9+AA9+AP9</f>
        <v>41</v>
      </c>
      <c r="BJ9" s="16">
        <f>M9+AB9+AQ9</f>
        <v>31</v>
      </c>
      <c r="BK9" s="16">
        <f>N9+AC9+AR9</f>
        <v>72</v>
      </c>
      <c r="BL9" s="16">
        <f>ROUND((BK9/E9)*100,0)</f>
        <v>72</v>
      </c>
      <c r="BM9" s="16">
        <f>O9+AD9+AS9</f>
        <v>0</v>
      </c>
      <c r="BN9" s="16">
        <f>P9+AE9+AT9</f>
        <v>0</v>
      </c>
      <c r="BO9" s="16">
        <f>Q9+AF9+AU9</f>
        <v>0</v>
      </c>
      <c r="BP9" s="16">
        <f>ROUND((BO9/E9)*100,0)</f>
        <v>0</v>
      </c>
      <c r="BQ9" s="16">
        <f>R9+AG9+AV9</f>
        <v>0</v>
      </c>
      <c r="BR9" s="16">
        <f>S9+AH9+AW9</f>
        <v>0</v>
      </c>
      <c r="BS9" s="16">
        <f>T9+AI9+AX9</f>
        <v>0</v>
      </c>
      <c r="BT9" s="16">
        <f>ROUND((BS9/E9)*100,0)</f>
        <v>0</v>
      </c>
      <c r="BU9" s="16">
        <f>ROUND((BD9+BH9+BL9+BP9+BT9),0)</f>
        <v>100</v>
      </c>
    </row>
    <row r="10" spans="1:73" ht="16.5" x14ac:dyDescent="0.3">
      <c r="A10" s="17">
        <v>2</v>
      </c>
      <c r="B10" s="18"/>
      <c r="C10" s="19">
        <v>37</v>
      </c>
      <c r="D10" s="20">
        <v>50</v>
      </c>
      <c r="E10" s="21">
        <f t="shared" ref="E10:E23" si="15">SUM(C10:D10)</f>
        <v>87</v>
      </c>
      <c r="F10" s="20">
        <v>2</v>
      </c>
      <c r="G10" s="20">
        <v>2</v>
      </c>
      <c r="H10" s="22">
        <f t="shared" si="0"/>
        <v>4</v>
      </c>
      <c r="I10" s="20">
        <v>1</v>
      </c>
      <c r="J10" s="20">
        <v>1</v>
      </c>
      <c r="K10" s="23">
        <f t="shared" si="1"/>
        <v>2</v>
      </c>
      <c r="L10" s="20">
        <v>15</v>
      </c>
      <c r="M10" s="20">
        <v>24</v>
      </c>
      <c r="N10" s="24">
        <f t="shared" si="2"/>
        <v>39</v>
      </c>
      <c r="O10" s="20">
        <v>0</v>
      </c>
      <c r="P10" s="20">
        <v>0</v>
      </c>
      <c r="Q10" s="25">
        <f t="shared" si="3"/>
        <v>0</v>
      </c>
      <c r="R10" s="20">
        <v>0</v>
      </c>
      <c r="S10" s="20">
        <v>0</v>
      </c>
      <c r="T10" s="27">
        <f t="shared" si="4"/>
        <v>0</v>
      </c>
      <c r="U10" s="20">
        <v>3</v>
      </c>
      <c r="V10" s="20">
        <v>4</v>
      </c>
      <c r="W10" s="22">
        <f t="shared" si="5"/>
        <v>7</v>
      </c>
      <c r="X10" s="20">
        <v>4</v>
      </c>
      <c r="Y10" s="20">
        <v>3</v>
      </c>
      <c r="Z10" s="23">
        <f t="shared" si="6"/>
        <v>7</v>
      </c>
      <c r="AA10" s="20">
        <v>8</v>
      </c>
      <c r="AB10" s="20">
        <v>14</v>
      </c>
      <c r="AC10" s="24">
        <f t="shared" si="7"/>
        <v>22</v>
      </c>
      <c r="AD10" s="20">
        <v>0</v>
      </c>
      <c r="AE10" s="20">
        <v>0</v>
      </c>
      <c r="AF10" s="25">
        <f t="shared" si="8"/>
        <v>0</v>
      </c>
      <c r="AG10" s="20">
        <v>0</v>
      </c>
      <c r="AH10" s="20">
        <v>0</v>
      </c>
      <c r="AI10" s="27">
        <f t="shared" si="9"/>
        <v>0</v>
      </c>
      <c r="AJ10" s="20">
        <v>0</v>
      </c>
      <c r="AK10" s="20">
        <v>0</v>
      </c>
      <c r="AL10" s="22">
        <f t="shared" si="10"/>
        <v>0</v>
      </c>
      <c r="AM10" s="20">
        <v>1</v>
      </c>
      <c r="AN10" s="20">
        <v>0</v>
      </c>
      <c r="AO10" s="23">
        <f t="shared" si="11"/>
        <v>1</v>
      </c>
      <c r="AP10" s="20">
        <v>3</v>
      </c>
      <c r="AQ10" s="20">
        <v>2</v>
      </c>
      <c r="AR10" s="24">
        <f t="shared" si="12"/>
        <v>5</v>
      </c>
      <c r="AS10" s="20"/>
      <c r="AT10" s="20"/>
      <c r="AU10" s="25">
        <f t="shared" si="13"/>
        <v>0</v>
      </c>
      <c r="AV10" s="20"/>
      <c r="AW10" s="20"/>
      <c r="AX10" s="27">
        <f t="shared" si="14"/>
        <v>0</v>
      </c>
      <c r="AZ10" s="28">
        <f t="shared" ref="AZ10:AZ29" si="16">H10+K10+N10+Q10+T10+W10+Z10+AC10+AF10+AI10+AL10+AO10+AR10+AU10+AX10</f>
        <v>87</v>
      </c>
      <c r="BA10" s="16">
        <f t="shared" ref="BA10:BC28" si="17">F10+U10+AJ10</f>
        <v>5</v>
      </c>
      <c r="BB10" s="16">
        <f t="shared" si="17"/>
        <v>6</v>
      </c>
      <c r="BC10" s="16">
        <f t="shared" si="17"/>
        <v>11</v>
      </c>
      <c r="BD10" s="16">
        <f t="shared" ref="BD10:BD29" si="18">ROUND((BC10/E10)*100,0)</f>
        <v>13</v>
      </c>
      <c r="BE10" s="16">
        <f t="shared" ref="BE10:BG28" si="19">I10+X10+AM10</f>
        <v>6</v>
      </c>
      <c r="BF10" s="16">
        <f t="shared" si="19"/>
        <v>4</v>
      </c>
      <c r="BG10" s="16">
        <f t="shared" si="19"/>
        <v>10</v>
      </c>
      <c r="BH10" s="16">
        <f t="shared" ref="BH10:BH29" si="20">ROUND((BG10/E10)*100,0)</f>
        <v>11</v>
      </c>
      <c r="BI10" s="16">
        <f t="shared" ref="BI10:BK28" si="21">L10+AA10+AP10</f>
        <v>26</v>
      </c>
      <c r="BJ10" s="16">
        <f t="shared" si="21"/>
        <v>40</v>
      </c>
      <c r="BK10" s="16">
        <f t="shared" si="21"/>
        <v>66</v>
      </c>
      <c r="BL10" s="16">
        <f t="shared" ref="BL10:BL29" si="22">ROUND((BK10/E10)*100,0)</f>
        <v>76</v>
      </c>
      <c r="BM10" s="16">
        <f t="shared" ref="BM10:BO28" si="23">O10+AD10+AS10</f>
        <v>0</v>
      </c>
      <c r="BN10" s="16">
        <f t="shared" si="23"/>
        <v>0</v>
      </c>
      <c r="BO10" s="16">
        <f t="shared" si="23"/>
        <v>0</v>
      </c>
      <c r="BP10" s="16">
        <f t="shared" ref="BP10:BP29" si="24">ROUND((BO10/E10)*100,0)</f>
        <v>0</v>
      </c>
      <c r="BQ10" s="16">
        <f t="shared" ref="BQ10:BS28" si="25">R10+AG10+AV10</f>
        <v>0</v>
      </c>
      <c r="BR10" s="16">
        <f t="shared" si="25"/>
        <v>0</v>
      </c>
      <c r="BS10" s="16">
        <f t="shared" si="25"/>
        <v>0</v>
      </c>
      <c r="BT10" s="16">
        <f t="shared" ref="BT10:BT29" si="26">ROUND((BS10/E10)*100,0)</f>
        <v>0</v>
      </c>
      <c r="BU10" s="16">
        <f t="shared" ref="BU10:BU29" si="27">ROUND((BD10+BH10+BL10+BP10+BT10),0)</f>
        <v>100</v>
      </c>
    </row>
    <row r="11" spans="1:73" ht="16.5" x14ac:dyDescent="0.3">
      <c r="A11" s="17">
        <v>3</v>
      </c>
      <c r="B11" s="18"/>
      <c r="C11" s="19">
        <v>104</v>
      </c>
      <c r="D11" s="20">
        <v>88</v>
      </c>
      <c r="E11" s="21">
        <f t="shared" si="15"/>
        <v>192</v>
      </c>
      <c r="F11" s="20">
        <v>8</v>
      </c>
      <c r="G11" s="20">
        <v>2</v>
      </c>
      <c r="H11" s="22">
        <f t="shared" si="0"/>
        <v>10</v>
      </c>
      <c r="I11" s="20">
        <v>12</v>
      </c>
      <c r="J11" s="20">
        <v>6</v>
      </c>
      <c r="K11" s="23">
        <f t="shared" si="1"/>
        <v>18</v>
      </c>
      <c r="L11" s="20">
        <v>29</v>
      </c>
      <c r="M11" s="20">
        <v>39</v>
      </c>
      <c r="N11" s="24">
        <f t="shared" si="2"/>
        <v>68</v>
      </c>
      <c r="O11" s="20">
        <v>0</v>
      </c>
      <c r="P11" s="20">
        <v>0</v>
      </c>
      <c r="Q11" s="25">
        <f t="shared" si="3"/>
        <v>0</v>
      </c>
      <c r="R11" s="20">
        <v>0</v>
      </c>
      <c r="S11" s="20">
        <v>0</v>
      </c>
      <c r="T11" s="27">
        <f t="shared" si="4"/>
        <v>0</v>
      </c>
      <c r="U11" s="20">
        <v>4</v>
      </c>
      <c r="V11" s="20">
        <v>2</v>
      </c>
      <c r="W11" s="22">
        <f t="shared" si="5"/>
        <v>6</v>
      </c>
      <c r="X11" s="20">
        <v>10</v>
      </c>
      <c r="Y11" s="20">
        <v>2</v>
      </c>
      <c r="Z11" s="23">
        <f t="shared" si="6"/>
        <v>12</v>
      </c>
      <c r="AA11" s="20">
        <v>32</v>
      </c>
      <c r="AB11" s="20">
        <v>33</v>
      </c>
      <c r="AC11" s="24">
        <f t="shared" si="7"/>
        <v>65</v>
      </c>
      <c r="AD11" s="20">
        <v>0</v>
      </c>
      <c r="AE11" s="20">
        <v>0</v>
      </c>
      <c r="AF11" s="25">
        <f t="shared" si="8"/>
        <v>0</v>
      </c>
      <c r="AG11" s="20">
        <v>0</v>
      </c>
      <c r="AH11" s="20">
        <v>0</v>
      </c>
      <c r="AI11" s="27">
        <f t="shared" si="9"/>
        <v>0</v>
      </c>
      <c r="AJ11" s="20">
        <v>0</v>
      </c>
      <c r="AK11" s="20">
        <v>0</v>
      </c>
      <c r="AL11" s="22">
        <f t="shared" si="10"/>
        <v>0</v>
      </c>
      <c r="AM11" s="20">
        <v>0</v>
      </c>
      <c r="AN11" s="20">
        <v>0</v>
      </c>
      <c r="AO11" s="23">
        <f t="shared" si="11"/>
        <v>0</v>
      </c>
      <c r="AP11" s="20">
        <v>9</v>
      </c>
      <c r="AQ11" s="20">
        <v>4</v>
      </c>
      <c r="AR11" s="24">
        <f t="shared" si="12"/>
        <v>13</v>
      </c>
      <c r="AS11" s="20">
        <v>0</v>
      </c>
      <c r="AT11" s="20">
        <v>0</v>
      </c>
      <c r="AU11" s="25">
        <f t="shared" si="13"/>
        <v>0</v>
      </c>
      <c r="AV11" s="20">
        <v>0</v>
      </c>
      <c r="AW11" s="20">
        <v>0</v>
      </c>
      <c r="AX11" s="27">
        <f t="shared" si="14"/>
        <v>0</v>
      </c>
      <c r="AZ11" s="28">
        <f t="shared" si="16"/>
        <v>192</v>
      </c>
      <c r="BA11" s="16">
        <f t="shared" si="17"/>
        <v>12</v>
      </c>
      <c r="BB11" s="16">
        <f t="shared" si="17"/>
        <v>4</v>
      </c>
      <c r="BC11" s="16">
        <f t="shared" si="17"/>
        <v>16</v>
      </c>
      <c r="BD11" s="16">
        <f t="shared" si="18"/>
        <v>8</v>
      </c>
      <c r="BE11" s="16">
        <f t="shared" si="19"/>
        <v>22</v>
      </c>
      <c r="BF11" s="16">
        <f t="shared" si="19"/>
        <v>8</v>
      </c>
      <c r="BG11" s="16">
        <f t="shared" si="19"/>
        <v>30</v>
      </c>
      <c r="BH11" s="16">
        <f t="shared" si="20"/>
        <v>16</v>
      </c>
      <c r="BI11" s="16">
        <f t="shared" si="21"/>
        <v>70</v>
      </c>
      <c r="BJ11" s="16">
        <f t="shared" si="21"/>
        <v>76</v>
      </c>
      <c r="BK11" s="16">
        <f t="shared" si="21"/>
        <v>146</v>
      </c>
      <c r="BL11" s="16">
        <f t="shared" si="22"/>
        <v>76</v>
      </c>
      <c r="BM11" s="16">
        <f t="shared" si="23"/>
        <v>0</v>
      </c>
      <c r="BN11" s="16">
        <f t="shared" si="23"/>
        <v>0</v>
      </c>
      <c r="BO11" s="16">
        <f t="shared" si="23"/>
        <v>0</v>
      </c>
      <c r="BP11" s="16">
        <f t="shared" si="24"/>
        <v>0</v>
      </c>
      <c r="BQ11" s="16">
        <f t="shared" si="25"/>
        <v>0</v>
      </c>
      <c r="BR11" s="16">
        <f t="shared" si="25"/>
        <v>0</v>
      </c>
      <c r="BS11" s="16">
        <f t="shared" si="25"/>
        <v>0</v>
      </c>
      <c r="BT11" s="16">
        <f t="shared" si="26"/>
        <v>0</v>
      </c>
      <c r="BU11" s="16">
        <f t="shared" si="27"/>
        <v>100</v>
      </c>
    </row>
    <row r="12" spans="1:73" ht="16.5" x14ac:dyDescent="0.3">
      <c r="A12" s="29">
        <v>4</v>
      </c>
      <c r="B12" s="18"/>
      <c r="C12" s="19">
        <v>74</v>
      </c>
      <c r="D12" s="20">
        <v>74</v>
      </c>
      <c r="E12" s="21">
        <f t="shared" si="15"/>
        <v>148</v>
      </c>
      <c r="F12" s="20">
        <v>0</v>
      </c>
      <c r="G12" s="20">
        <v>1</v>
      </c>
      <c r="H12" s="22">
        <f t="shared" si="0"/>
        <v>1</v>
      </c>
      <c r="I12" s="20">
        <v>0</v>
      </c>
      <c r="J12" s="20">
        <v>0</v>
      </c>
      <c r="K12" s="23">
        <v>0</v>
      </c>
      <c r="L12" s="20">
        <v>20</v>
      </c>
      <c r="M12" s="20">
        <v>35</v>
      </c>
      <c r="N12" s="24">
        <v>55</v>
      </c>
      <c r="O12" s="20">
        <v>0</v>
      </c>
      <c r="P12" s="20">
        <v>0</v>
      </c>
      <c r="Q12" s="25">
        <v>0</v>
      </c>
      <c r="R12" s="20">
        <v>0</v>
      </c>
      <c r="S12" s="20">
        <v>0</v>
      </c>
      <c r="T12" s="27">
        <f t="shared" si="4"/>
        <v>0</v>
      </c>
      <c r="U12" s="20">
        <v>0</v>
      </c>
      <c r="V12" s="20">
        <v>0</v>
      </c>
      <c r="W12" s="22">
        <f t="shared" si="5"/>
        <v>0</v>
      </c>
      <c r="X12" s="20">
        <v>0</v>
      </c>
      <c r="Y12" s="20">
        <v>0</v>
      </c>
      <c r="Z12" s="23">
        <f t="shared" si="6"/>
        <v>0</v>
      </c>
      <c r="AA12" s="20">
        <v>44</v>
      </c>
      <c r="AB12" s="20">
        <v>37</v>
      </c>
      <c r="AC12" s="24">
        <f t="shared" si="7"/>
        <v>81</v>
      </c>
      <c r="AD12" s="20">
        <v>0</v>
      </c>
      <c r="AE12" s="20">
        <v>0</v>
      </c>
      <c r="AF12" s="25">
        <f t="shared" si="8"/>
        <v>0</v>
      </c>
      <c r="AG12" s="20"/>
      <c r="AH12" s="20"/>
      <c r="AI12" s="27">
        <f t="shared" si="9"/>
        <v>0</v>
      </c>
      <c r="AJ12" s="20"/>
      <c r="AK12" s="20"/>
      <c r="AL12" s="22">
        <f t="shared" si="10"/>
        <v>0</v>
      </c>
      <c r="AM12" s="20">
        <v>1</v>
      </c>
      <c r="AN12" s="20">
        <v>0</v>
      </c>
      <c r="AO12" s="23">
        <f t="shared" si="11"/>
        <v>1</v>
      </c>
      <c r="AP12" s="20">
        <v>8</v>
      </c>
      <c r="AQ12" s="20">
        <v>2</v>
      </c>
      <c r="AR12" s="24">
        <f t="shared" si="12"/>
        <v>10</v>
      </c>
      <c r="AS12" s="20">
        <v>0</v>
      </c>
      <c r="AT12" s="20">
        <v>0</v>
      </c>
      <c r="AU12" s="25">
        <f t="shared" si="13"/>
        <v>0</v>
      </c>
      <c r="AV12" s="20">
        <v>0</v>
      </c>
      <c r="AW12" s="20">
        <v>0</v>
      </c>
      <c r="AX12" s="27">
        <f t="shared" si="14"/>
        <v>0</v>
      </c>
      <c r="AZ12" s="28">
        <f t="shared" si="16"/>
        <v>148</v>
      </c>
      <c r="BA12" s="16">
        <f t="shared" si="17"/>
        <v>0</v>
      </c>
      <c r="BB12" s="16">
        <f t="shared" si="17"/>
        <v>1</v>
      </c>
      <c r="BC12" s="16">
        <f t="shared" si="17"/>
        <v>1</v>
      </c>
      <c r="BD12" s="16">
        <f t="shared" si="18"/>
        <v>1</v>
      </c>
      <c r="BE12" s="16">
        <f t="shared" si="19"/>
        <v>1</v>
      </c>
      <c r="BF12" s="16">
        <f t="shared" si="19"/>
        <v>0</v>
      </c>
      <c r="BG12" s="16">
        <f t="shared" si="19"/>
        <v>1</v>
      </c>
      <c r="BH12" s="16">
        <f t="shared" si="20"/>
        <v>1</v>
      </c>
      <c r="BI12" s="16">
        <f t="shared" si="21"/>
        <v>72</v>
      </c>
      <c r="BJ12" s="16">
        <f t="shared" si="21"/>
        <v>74</v>
      </c>
      <c r="BK12" s="16">
        <f t="shared" si="21"/>
        <v>146</v>
      </c>
      <c r="BL12" s="16">
        <f t="shared" si="22"/>
        <v>99</v>
      </c>
      <c r="BM12" s="16">
        <f t="shared" si="23"/>
        <v>0</v>
      </c>
      <c r="BN12" s="16">
        <f t="shared" si="23"/>
        <v>0</v>
      </c>
      <c r="BO12" s="16">
        <f t="shared" si="23"/>
        <v>0</v>
      </c>
      <c r="BP12" s="16">
        <f t="shared" si="24"/>
        <v>0</v>
      </c>
      <c r="BQ12" s="16">
        <f t="shared" si="25"/>
        <v>0</v>
      </c>
      <c r="BR12" s="16">
        <f t="shared" si="25"/>
        <v>0</v>
      </c>
      <c r="BS12" s="16">
        <f t="shared" si="25"/>
        <v>0</v>
      </c>
      <c r="BT12" s="16">
        <f t="shared" si="26"/>
        <v>0</v>
      </c>
      <c r="BU12" s="16">
        <f t="shared" si="27"/>
        <v>101</v>
      </c>
    </row>
    <row r="13" spans="1:73" ht="16.5" x14ac:dyDescent="0.3">
      <c r="A13" s="17">
        <v>5</v>
      </c>
      <c r="B13" s="18"/>
      <c r="C13" s="19">
        <v>50</v>
      </c>
      <c r="D13" s="20">
        <v>48</v>
      </c>
      <c r="E13" s="21">
        <f t="shared" si="15"/>
        <v>98</v>
      </c>
      <c r="F13" s="20">
        <v>1</v>
      </c>
      <c r="G13" s="20"/>
      <c r="H13" s="22">
        <f t="shared" si="0"/>
        <v>1</v>
      </c>
      <c r="I13" s="20">
        <v>3</v>
      </c>
      <c r="J13" s="20">
        <v>2</v>
      </c>
      <c r="K13" s="23">
        <f t="shared" si="1"/>
        <v>5</v>
      </c>
      <c r="L13" s="20">
        <v>18</v>
      </c>
      <c r="M13" s="20">
        <v>13</v>
      </c>
      <c r="N13" s="24">
        <f t="shared" si="2"/>
        <v>31</v>
      </c>
      <c r="O13" s="20">
        <v>0</v>
      </c>
      <c r="P13" s="20">
        <v>0</v>
      </c>
      <c r="Q13" s="25">
        <f t="shared" si="3"/>
        <v>0</v>
      </c>
      <c r="R13" s="20">
        <v>0</v>
      </c>
      <c r="S13" s="20">
        <v>0</v>
      </c>
      <c r="T13" s="27">
        <f>SUM(R13:S13)</f>
        <v>0</v>
      </c>
      <c r="U13" s="20">
        <v>4</v>
      </c>
      <c r="V13" s="20">
        <v>0</v>
      </c>
      <c r="W13" s="22">
        <f t="shared" si="5"/>
        <v>4</v>
      </c>
      <c r="X13" s="20">
        <v>5</v>
      </c>
      <c r="Y13" s="20">
        <v>6</v>
      </c>
      <c r="Z13" s="23">
        <f t="shared" si="6"/>
        <v>11</v>
      </c>
      <c r="AA13" s="20">
        <v>17</v>
      </c>
      <c r="AB13" s="20">
        <v>23</v>
      </c>
      <c r="AC13" s="24">
        <f t="shared" si="7"/>
        <v>40</v>
      </c>
      <c r="AD13" s="20">
        <v>0</v>
      </c>
      <c r="AE13" s="20">
        <v>0</v>
      </c>
      <c r="AF13" s="25">
        <f t="shared" si="8"/>
        <v>0</v>
      </c>
      <c r="AG13" s="20">
        <v>0</v>
      </c>
      <c r="AH13" s="20">
        <v>0</v>
      </c>
      <c r="AI13" s="27">
        <f>SUM(AG13:AH13)</f>
        <v>0</v>
      </c>
      <c r="AJ13" s="20">
        <v>0</v>
      </c>
      <c r="AK13" s="20">
        <v>0</v>
      </c>
      <c r="AL13" s="22">
        <f t="shared" si="10"/>
        <v>0</v>
      </c>
      <c r="AM13" s="20">
        <v>0</v>
      </c>
      <c r="AN13" s="20">
        <v>0</v>
      </c>
      <c r="AO13" s="23">
        <f t="shared" si="11"/>
        <v>0</v>
      </c>
      <c r="AP13" s="20">
        <v>3</v>
      </c>
      <c r="AQ13" s="20">
        <v>3</v>
      </c>
      <c r="AR13" s="24">
        <f t="shared" si="12"/>
        <v>6</v>
      </c>
      <c r="AS13" s="20">
        <v>0</v>
      </c>
      <c r="AT13" s="20">
        <v>0</v>
      </c>
      <c r="AU13" s="25">
        <f t="shared" si="13"/>
        <v>0</v>
      </c>
      <c r="AV13" s="20"/>
      <c r="AW13" s="20">
        <v>0</v>
      </c>
      <c r="AX13" s="27">
        <f>SUM(AV13:AW13)</f>
        <v>0</v>
      </c>
      <c r="AZ13" s="28">
        <f t="shared" si="16"/>
        <v>98</v>
      </c>
      <c r="BA13" s="16">
        <f t="shared" si="17"/>
        <v>5</v>
      </c>
      <c r="BB13" s="16">
        <f t="shared" si="17"/>
        <v>0</v>
      </c>
      <c r="BC13" s="16">
        <f t="shared" si="17"/>
        <v>5</v>
      </c>
      <c r="BD13" s="16">
        <f t="shared" si="18"/>
        <v>5</v>
      </c>
      <c r="BE13" s="16">
        <f t="shared" si="19"/>
        <v>8</v>
      </c>
      <c r="BF13" s="16">
        <f t="shared" si="19"/>
        <v>8</v>
      </c>
      <c r="BG13" s="16">
        <f t="shared" si="19"/>
        <v>16</v>
      </c>
      <c r="BH13" s="16">
        <f t="shared" si="20"/>
        <v>16</v>
      </c>
      <c r="BI13" s="16">
        <f t="shared" si="21"/>
        <v>38</v>
      </c>
      <c r="BJ13" s="16">
        <f t="shared" si="21"/>
        <v>39</v>
      </c>
      <c r="BK13" s="16">
        <f t="shared" si="21"/>
        <v>77</v>
      </c>
      <c r="BL13" s="16">
        <f t="shared" si="22"/>
        <v>79</v>
      </c>
      <c r="BM13" s="16">
        <f t="shared" si="23"/>
        <v>0</v>
      </c>
      <c r="BN13" s="16">
        <f t="shared" si="23"/>
        <v>0</v>
      </c>
      <c r="BO13" s="16">
        <f t="shared" si="23"/>
        <v>0</v>
      </c>
      <c r="BP13" s="16">
        <f t="shared" si="24"/>
        <v>0</v>
      </c>
      <c r="BQ13" s="16">
        <f t="shared" si="25"/>
        <v>0</v>
      </c>
      <c r="BR13" s="16">
        <f t="shared" si="25"/>
        <v>0</v>
      </c>
      <c r="BS13" s="16">
        <f t="shared" si="25"/>
        <v>0</v>
      </c>
      <c r="BT13" s="16">
        <f t="shared" si="26"/>
        <v>0</v>
      </c>
      <c r="BU13" s="16">
        <f t="shared" si="27"/>
        <v>100</v>
      </c>
    </row>
    <row r="14" spans="1:73" ht="16.5" x14ac:dyDescent="0.3">
      <c r="A14" s="17">
        <v>6</v>
      </c>
      <c r="B14" s="18"/>
      <c r="C14" s="19">
        <v>106</v>
      </c>
      <c r="D14" s="20">
        <v>126</v>
      </c>
      <c r="E14" s="21">
        <f t="shared" si="15"/>
        <v>232</v>
      </c>
      <c r="F14" s="20">
        <v>3</v>
      </c>
      <c r="G14" s="20">
        <v>2</v>
      </c>
      <c r="H14" s="22">
        <f t="shared" si="0"/>
        <v>5</v>
      </c>
      <c r="I14" s="20">
        <v>0</v>
      </c>
      <c r="J14" s="20">
        <v>4</v>
      </c>
      <c r="K14" s="23">
        <f t="shared" si="1"/>
        <v>4</v>
      </c>
      <c r="L14" s="20">
        <v>35</v>
      </c>
      <c r="M14" s="20">
        <v>47</v>
      </c>
      <c r="N14" s="24">
        <f t="shared" si="2"/>
        <v>82</v>
      </c>
      <c r="O14" s="20">
        <v>0</v>
      </c>
      <c r="P14" s="20">
        <v>0</v>
      </c>
      <c r="Q14" s="25">
        <f t="shared" si="3"/>
        <v>0</v>
      </c>
      <c r="R14" s="20">
        <v>0</v>
      </c>
      <c r="S14" s="20">
        <v>0</v>
      </c>
      <c r="T14" s="27">
        <f t="shared" ref="T14" si="28">SUM(R14:S14)</f>
        <v>0</v>
      </c>
      <c r="U14" s="20">
        <v>14</v>
      </c>
      <c r="V14" s="20">
        <v>7</v>
      </c>
      <c r="W14" s="22">
        <f t="shared" si="5"/>
        <v>21</v>
      </c>
      <c r="X14" s="20">
        <v>15</v>
      </c>
      <c r="Y14" s="20">
        <v>11</v>
      </c>
      <c r="Z14" s="23">
        <f t="shared" si="6"/>
        <v>26</v>
      </c>
      <c r="AA14" s="20">
        <v>30</v>
      </c>
      <c r="AB14" s="20">
        <v>55</v>
      </c>
      <c r="AC14" s="24">
        <f t="shared" si="7"/>
        <v>85</v>
      </c>
      <c r="AD14" s="20">
        <v>0</v>
      </c>
      <c r="AE14" s="20">
        <v>0</v>
      </c>
      <c r="AF14" s="25">
        <f t="shared" si="8"/>
        <v>0</v>
      </c>
      <c r="AG14" s="20">
        <v>0</v>
      </c>
      <c r="AH14" s="20">
        <v>0</v>
      </c>
      <c r="AI14" s="27">
        <f t="shared" ref="AI14" si="29">SUM(AG14:AH14)</f>
        <v>0</v>
      </c>
      <c r="AJ14" s="20">
        <v>3</v>
      </c>
      <c r="AK14" s="20">
        <v>0</v>
      </c>
      <c r="AL14" s="22">
        <f t="shared" si="10"/>
        <v>3</v>
      </c>
      <c r="AM14" s="20">
        <v>4</v>
      </c>
      <c r="AN14" s="20">
        <v>0</v>
      </c>
      <c r="AO14" s="23">
        <f t="shared" si="11"/>
        <v>4</v>
      </c>
      <c r="AP14" s="20">
        <v>1</v>
      </c>
      <c r="AQ14" s="20">
        <v>1</v>
      </c>
      <c r="AR14" s="24">
        <f t="shared" si="12"/>
        <v>2</v>
      </c>
      <c r="AS14" s="20">
        <v>0</v>
      </c>
      <c r="AT14" s="20">
        <v>0</v>
      </c>
      <c r="AU14" s="25">
        <f t="shared" si="13"/>
        <v>0</v>
      </c>
      <c r="AV14" s="20">
        <v>0</v>
      </c>
      <c r="AW14" s="20">
        <v>0</v>
      </c>
      <c r="AX14" s="27">
        <f t="shared" ref="AX14" si="30">SUM(AV14:AW14)</f>
        <v>0</v>
      </c>
      <c r="AZ14" s="28">
        <f t="shared" si="16"/>
        <v>232</v>
      </c>
      <c r="BA14" s="16">
        <f t="shared" si="17"/>
        <v>20</v>
      </c>
      <c r="BB14" s="16">
        <f t="shared" si="17"/>
        <v>9</v>
      </c>
      <c r="BC14" s="16">
        <f t="shared" si="17"/>
        <v>29</v>
      </c>
      <c r="BD14" s="16">
        <f t="shared" si="18"/>
        <v>13</v>
      </c>
      <c r="BE14" s="16">
        <f t="shared" si="19"/>
        <v>19</v>
      </c>
      <c r="BF14" s="16">
        <f t="shared" si="19"/>
        <v>15</v>
      </c>
      <c r="BG14" s="16">
        <f t="shared" si="19"/>
        <v>34</v>
      </c>
      <c r="BH14" s="16">
        <f t="shared" si="20"/>
        <v>15</v>
      </c>
      <c r="BI14" s="16">
        <f t="shared" si="21"/>
        <v>66</v>
      </c>
      <c r="BJ14" s="16">
        <f t="shared" si="21"/>
        <v>103</v>
      </c>
      <c r="BK14" s="16">
        <f t="shared" si="21"/>
        <v>169</v>
      </c>
      <c r="BL14" s="16">
        <f t="shared" si="22"/>
        <v>73</v>
      </c>
      <c r="BM14" s="16">
        <f t="shared" si="23"/>
        <v>0</v>
      </c>
      <c r="BN14" s="16">
        <f t="shared" si="23"/>
        <v>0</v>
      </c>
      <c r="BO14" s="16">
        <f t="shared" si="23"/>
        <v>0</v>
      </c>
      <c r="BP14" s="16">
        <f t="shared" si="24"/>
        <v>0</v>
      </c>
      <c r="BQ14" s="16">
        <f t="shared" si="25"/>
        <v>0</v>
      </c>
      <c r="BR14" s="16">
        <f t="shared" si="25"/>
        <v>0</v>
      </c>
      <c r="BS14" s="16">
        <f t="shared" si="25"/>
        <v>0</v>
      </c>
      <c r="BT14" s="16">
        <f t="shared" si="26"/>
        <v>0</v>
      </c>
      <c r="BU14" s="16">
        <f t="shared" si="27"/>
        <v>101</v>
      </c>
    </row>
    <row r="15" spans="1:73" ht="16.5" x14ac:dyDescent="0.3">
      <c r="A15" s="17">
        <v>7</v>
      </c>
      <c r="B15" s="18"/>
      <c r="C15" s="19">
        <v>37</v>
      </c>
      <c r="D15" s="20">
        <v>41</v>
      </c>
      <c r="E15" s="21">
        <f t="shared" si="15"/>
        <v>78</v>
      </c>
      <c r="F15" s="20">
        <v>5</v>
      </c>
      <c r="G15" s="20">
        <v>2</v>
      </c>
      <c r="H15" s="22">
        <f t="shared" si="0"/>
        <v>7</v>
      </c>
      <c r="I15" s="20">
        <v>2</v>
      </c>
      <c r="J15" s="20">
        <v>1</v>
      </c>
      <c r="K15" s="23">
        <f t="shared" si="1"/>
        <v>3</v>
      </c>
      <c r="L15" s="20">
        <v>30</v>
      </c>
      <c r="M15" s="20">
        <v>38</v>
      </c>
      <c r="N15" s="24">
        <f t="shared" si="2"/>
        <v>68</v>
      </c>
      <c r="O15" s="20">
        <v>0</v>
      </c>
      <c r="P15" s="20">
        <v>0</v>
      </c>
      <c r="Q15" s="25">
        <v>0</v>
      </c>
      <c r="R15" s="20">
        <v>0</v>
      </c>
      <c r="S15" s="20">
        <v>0</v>
      </c>
      <c r="T15" s="27">
        <v>0</v>
      </c>
      <c r="U15" s="20">
        <v>0</v>
      </c>
      <c r="V15" s="20">
        <v>0</v>
      </c>
      <c r="W15" s="22">
        <f t="shared" si="5"/>
        <v>0</v>
      </c>
      <c r="X15" s="20">
        <v>0</v>
      </c>
      <c r="Y15" s="20">
        <v>0</v>
      </c>
      <c r="Z15" s="23">
        <f t="shared" si="6"/>
        <v>0</v>
      </c>
      <c r="AA15" s="20">
        <v>0</v>
      </c>
      <c r="AB15" s="20">
        <v>0</v>
      </c>
      <c r="AC15" s="24">
        <f t="shared" si="7"/>
        <v>0</v>
      </c>
      <c r="AD15" s="20">
        <v>0</v>
      </c>
      <c r="AE15" s="20">
        <v>0</v>
      </c>
      <c r="AF15" s="25">
        <v>0</v>
      </c>
      <c r="AG15" s="20">
        <v>0</v>
      </c>
      <c r="AH15" s="20">
        <v>0</v>
      </c>
      <c r="AI15" s="27">
        <v>0</v>
      </c>
      <c r="AJ15" s="20">
        <v>0</v>
      </c>
      <c r="AK15" s="20">
        <v>0</v>
      </c>
      <c r="AL15" s="22">
        <f t="shared" si="10"/>
        <v>0</v>
      </c>
      <c r="AM15" s="20">
        <v>0</v>
      </c>
      <c r="AN15" s="20">
        <v>0</v>
      </c>
      <c r="AO15" s="23">
        <f t="shared" si="11"/>
        <v>0</v>
      </c>
      <c r="AP15" s="20">
        <v>0</v>
      </c>
      <c r="AQ15" s="20">
        <v>0</v>
      </c>
      <c r="AR15" s="24">
        <f t="shared" si="12"/>
        <v>0</v>
      </c>
      <c r="AS15" s="20">
        <v>0</v>
      </c>
      <c r="AT15" s="20">
        <v>0</v>
      </c>
      <c r="AU15" s="25">
        <v>0</v>
      </c>
      <c r="AV15" s="20">
        <v>0</v>
      </c>
      <c r="AW15" s="20">
        <v>0</v>
      </c>
      <c r="AX15" s="27">
        <v>0</v>
      </c>
      <c r="AZ15" s="28">
        <f t="shared" si="16"/>
        <v>78</v>
      </c>
      <c r="BA15" s="16">
        <f t="shared" si="17"/>
        <v>5</v>
      </c>
      <c r="BB15" s="16">
        <f t="shared" si="17"/>
        <v>2</v>
      </c>
      <c r="BC15" s="16">
        <f t="shared" si="17"/>
        <v>7</v>
      </c>
      <c r="BD15" s="16">
        <f t="shared" si="18"/>
        <v>9</v>
      </c>
      <c r="BE15" s="16">
        <f t="shared" si="19"/>
        <v>2</v>
      </c>
      <c r="BF15" s="16">
        <f t="shared" si="19"/>
        <v>1</v>
      </c>
      <c r="BG15" s="16">
        <f t="shared" si="19"/>
        <v>3</v>
      </c>
      <c r="BH15" s="16">
        <f t="shared" si="20"/>
        <v>4</v>
      </c>
      <c r="BI15" s="16">
        <f t="shared" si="21"/>
        <v>30</v>
      </c>
      <c r="BJ15" s="16">
        <f t="shared" si="21"/>
        <v>38</v>
      </c>
      <c r="BK15" s="16">
        <f t="shared" si="21"/>
        <v>68</v>
      </c>
      <c r="BL15" s="16">
        <f t="shared" si="22"/>
        <v>87</v>
      </c>
      <c r="BM15" s="16">
        <f t="shared" si="23"/>
        <v>0</v>
      </c>
      <c r="BN15" s="16">
        <f t="shared" si="23"/>
        <v>0</v>
      </c>
      <c r="BO15" s="16">
        <f t="shared" si="23"/>
        <v>0</v>
      </c>
      <c r="BP15" s="16">
        <f t="shared" si="24"/>
        <v>0</v>
      </c>
      <c r="BQ15" s="16">
        <f t="shared" si="25"/>
        <v>0</v>
      </c>
      <c r="BR15" s="16">
        <f t="shared" si="25"/>
        <v>0</v>
      </c>
      <c r="BS15" s="16">
        <f t="shared" si="25"/>
        <v>0</v>
      </c>
      <c r="BT15" s="16">
        <f t="shared" si="26"/>
        <v>0</v>
      </c>
      <c r="BU15" s="16">
        <f t="shared" si="27"/>
        <v>100</v>
      </c>
    </row>
    <row r="16" spans="1:73" ht="16.5" x14ac:dyDescent="0.3">
      <c r="A16" s="17">
        <v>8</v>
      </c>
      <c r="B16" s="18"/>
      <c r="C16" s="19">
        <v>95</v>
      </c>
      <c r="D16" s="20">
        <v>79</v>
      </c>
      <c r="E16" s="21">
        <f t="shared" si="15"/>
        <v>174</v>
      </c>
      <c r="F16" s="20">
        <v>1</v>
      </c>
      <c r="G16" s="20">
        <v>3</v>
      </c>
      <c r="H16" s="22">
        <f t="shared" si="0"/>
        <v>4</v>
      </c>
      <c r="I16" s="20">
        <v>2</v>
      </c>
      <c r="J16" s="20">
        <v>1</v>
      </c>
      <c r="K16" s="23">
        <f t="shared" si="1"/>
        <v>3</v>
      </c>
      <c r="L16" s="20">
        <v>29</v>
      </c>
      <c r="M16" s="20">
        <v>35</v>
      </c>
      <c r="N16" s="24">
        <f t="shared" si="2"/>
        <v>64</v>
      </c>
      <c r="O16" s="20">
        <v>1</v>
      </c>
      <c r="P16" s="20">
        <v>4</v>
      </c>
      <c r="Q16" s="25">
        <f t="shared" ref="Q16:Q17" si="31">SUM(O16:P16)</f>
        <v>5</v>
      </c>
      <c r="R16" s="20">
        <v>0</v>
      </c>
      <c r="S16" s="20">
        <v>0</v>
      </c>
      <c r="T16" s="27">
        <f t="shared" ref="T16" si="32">SUM(R16:S16)</f>
        <v>0</v>
      </c>
      <c r="U16" s="20">
        <v>4</v>
      </c>
      <c r="V16" s="20">
        <v>0</v>
      </c>
      <c r="W16" s="22">
        <f t="shared" si="5"/>
        <v>4</v>
      </c>
      <c r="X16" s="20">
        <v>8</v>
      </c>
      <c r="Y16" s="20">
        <v>2</v>
      </c>
      <c r="Z16" s="23">
        <f t="shared" si="6"/>
        <v>10</v>
      </c>
      <c r="AA16" s="20">
        <v>50</v>
      </c>
      <c r="AB16" s="20">
        <v>31</v>
      </c>
      <c r="AC16" s="24">
        <f t="shared" si="7"/>
        <v>81</v>
      </c>
      <c r="AD16" s="20">
        <v>0</v>
      </c>
      <c r="AE16" s="20">
        <v>0</v>
      </c>
      <c r="AF16" s="25">
        <f t="shared" ref="AF16:AF17" si="33">SUM(AD16:AE16)</f>
        <v>0</v>
      </c>
      <c r="AG16" s="20">
        <v>0</v>
      </c>
      <c r="AH16" s="20">
        <v>0</v>
      </c>
      <c r="AI16" s="27">
        <f t="shared" ref="AI16" si="34">SUM(AG16:AH16)</f>
        <v>0</v>
      </c>
      <c r="AJ16" s="20">
        <v>0</v>
      </c>
      <c r="AK16" s="20">
        <v>1</v>
      </c>
      <c r="AL16" s="22">
        <f t="shared" si="10"/>
        <v>1</v>
      </c>
      <c r="AM16" s="20">
        <v>0</v>
      </c>
      <c r="AN16" s="20">
        <v>0</v>
      </c>
      <c r="AO16" s="23">
        <f t="shared" si="11"/>
        <v>0</v>
      </c>
      <c r="AP16" s="20">
        <v>0</v>
      </c>
      <c r="AQ16" s="20">
        <v>2</v>
      </c>
      <c r="AR16" s="24">
        <f t="shared" si="12"/>
        <v>2</v>
      </c>
      <c r="AS16" s="20">
        <v>0</v>
      </c>
      <c r="AT16" s="20">
        <v>0</v>
      </c>
      <c r="AU16" s="25">
        <f t="shared" ref="AU16:AU17" si="35">SUM(AS16:AT16)</f>
        <v>0</v>
      </c>
      <c r="AV16" s="20">
        <v>0</v>
      </c>
      <c r="AW16" s="20">
        <v>0</v>
      </c>
      <c r="AX16" s="27">
        <f t="shared" ref="AX16" si="36">SUM(AV16:AW16)</f>
        <v>0</v>
      </c>
      <c r="AZ16" s="28">
        <f t="shared" si="16"/>
        <v>174</v>
      </c>
      <c r="BA16" s="16">
        <f t="shared" si="17"/>
        <v>5</v>
      </c>
      <c r="BB16" s="16">
        <f t="shared" si="17"/>
        <v>4</v>
      </c>
      <c r="BC16" s="16">
        <f t="shared" si="17"/>
        <v>9</v>
      </c>
      <c r="BD16" s="16">
        <f t="shared" si="18"/>
        <v>5</v>
      </c>
      <c r="BE16" s="16">
        <f t="shared" si="19"/>
        <v>10</v>
      </c>
      <c r="BF16" s="16">
        <f t="shared" si="19"/>
        <v>3</v>
      </c>
      <c r="BG16" s="16">
        <f t="shared" si="19"/>
        <v>13</v>
      </c>
      <c r="BH16" s="16">
        <f t="shared" si="20"/>
        <v>7</v>
      </c>
      <c r="BI16" s="16">
        <f t="shared" si="21"/>
        <v>79</v>
      </c>
      <c r="BJ16" s="16">
        <f t="shared" si="21"/>
        <v>68</v>
      </c>
      <c r="BK16" s="16">
        <f t="shared" si="21"/>
        <v>147</v>
      </c>
      <c r="BL16" s="16">
        <f t="shared" si="22"/>
        <v>84</v>
      </c>
      <c r="BM16" s="16">
        <f t="shared" si="23"/>
        <v>1</v>
      </c>
      <c r="BN16" s="16">
        <f t="shared" si="23"/>
        <v>4</v>
      </c>
      <c r="BO16" s="16">
        <f t="shared" si="23"/>
        <v>5</v>
      </c>
      <c r="BP16" s="16">
        <f t="shared" si="24"/>
        <v>3</v>
      </c>
      <c r="BQ16" s="16">
        <f t="shared" si="25"/>
        <v>0</v>
      </c>
      <c r="BR16" s="16">
        <f t="shared" si="25"/>
        <v>0</v>
      </c>
      <c r="BS16" s="16">
        <f t="shared" si="25"/>
        <v>0</v>
      </c>
      <c r="BT16" s="16">
        <f t="shared" si="26"/>
        <v>0</v>
      </c>
      <c r="BU16" s="16">
        <f t="shared" si="27"/>
        <v>99</v>
      </c>
    </row>
    <row r="17" spans="1:73" ht="16.5" x14ac:dyDescent="0.3">
      <c r="A17" s="29">
        <v>9</v>
      </c>
      <c r="B17" s="18"/>
      <c r="C17" s="19">
        <v>38</v>
      </c>
      <c r="D17" s="20">
        <v>46</v>
      </c>
      <c r="E17" s="21">
        <f t="shared" si="15"/>
        <v>84</v>
      </c>
      <c r="F17" s="20">
        <v>0</v>
      </c>
      <c r="G17" s="20">
        <v>0</v>
      </c>
      <c r="H17" s="22">
        <f t="shared" si="0"/>
        <v>0</v>
      </c>
      <c r="I17" s="20">
        <v>1</v>
      </c>
      <c r="J17" s="20">
        <v>1</v>
      </c>
      <c r="K17" s="23">
        <f t="shared" si="1"/>
        <v>2</v>
      </c>
      <c r="L17" s="20">
        <v>13</v>
      </c>
      <c r="M17" s="20">
        <v>21</v>
      </c>
      <c r="N17" s="24">
        <f t="shared" si="2"/>
        <v>34</v>
      </c>
      <c r="O17" s="20">
        <v>0</v>
      </c>
      <c r="P17" s="20">
        <v>0</v>
      </c>
      <c r="Q17" s="25">
        <f t="shared" si="31"/>
        <v>0</v>
      </c>
      <c r="R17" s="20">
        <v>0</v>
      </c>
      <c r="S17" s="20">
        <v>0</v>
      </c>
      <c r="T17" s="27">
        <v>0</v>
      </c>
      <c r="U17" s="20">
        <v>0</v>
      </c>
      <c r="V17" s="20">
        <v>0</v>
      </c>
      <c r="W17" s="22">
        <f t="shared" si="5"/>
        <v>0</v>
      </c>
      <c r="X17" s="20">
        <v>8</v>
      </c>
      <c r="Y17" s="20">
        <v>4</v>
      </c>
      <c r="Z17" s="23">
        <f t="shared" si="6"/>
        <v>12</v>
      </c>
      <c r="AA17" s="20">
        <v>13</v>
      </c>
      <c r="AB17" s="20">
        <v>18</v>
      </c>
      <c r="AC17" s="24">
        <f t="shared" si="7"/>
        <v>31</v>
      </c>
      <c r="AD17" s="20">
        <v>0</v>
      </c>
      <c r="AE17" s="20">
        <v>0</v>
      </c>
      <c r="AF17" s="25">
        <f t="shared" si="33"/>
        <v>0</v>
      </c>
      <c r="AG17" s="20">
        <v>0</v>
      </c>
      <c r="AH17" s="20">
        <v>0</v>
      </c>
      <c r="AI17" s="27">
        <v>0</v>
      </c>
      <c r="AJ17" s="20">
        <v>0</v>
      </c>
      <c r="AK17" s="20">
        <v>0</v>
      </c>
      <c r="AL17" s="22">
        <f t="shared" si="10"/>
        <v>0</v>
      </c>
      <c r="AM17" s="20">
        <v>0</v>
      </c>
      <c r="AN17" s="20">
        <v>2</v>
      </c>
      <c r="AO17" s="23">
        <f t="shared" si="11"/>
        <v>2</v>
      </c>
      <c r="AP17" s="20">
        <v>3</v>
      </c>
      <c r="AQ17" s="20">
        <v>0</v>
      </c>
      <c r="AR17" s="24">
        <f t="shared" si="12"/>
        <v>3</v>
      </c>
      <c r="AS17" s="20">
        <v>0</v>
      </c>
      <c r="AT17" s="20">
        <v>0</v>
      </c>
      <c r="AU17" s="25">
        <f t="shared" si="35"/>
        <v>0</v>
      </c>
      <c r="AV17" s="20">
        <v>0</v>
      </c>
      <c r="AW17" s="20">
        <v>0</v>
      </c>
      <c r="AX17" s="27">
        <v>0</v>
      </c>
      <c r="AZ17" s="28">
        <f t="shared" si="16"/>
        <v>84</v>
      </c>
      <c r="BA17" s="16">
        <f t="shared" si="17"/>
        <v>0</v>
      </c>
      <c r="BB17" s="16">
        <f t="shared" si="17"/>
        <v>0</v>
      </c>
      <c r="BC17" s="16">
        <f t="shared" si="17"/>
        <v>0</v>
      </c>
      <c r="BD17" s="16">
        <f t="shared" si="18"/>
        <v>0</v>
      </c>
      <c r="BE17" s="16">
        <f t="shared" si="19"/>
        <v>9</v>
      </c>
      <c r="BF17" s="16">
        <f t="shared" si="19"/>
        <v>7</v>
      </c>
      <c r="BG17" s="16">
        <f t="shared" si="19"/>
        <v>16</v>
      </c>
      <c r="BH17" s="16">
        <f t="shared" si="20"/>
        <v>19</v>
      </c>
      <c r="BI17" s="16">
        <f t="shared" si="21"/>
        <v>29</v>
      </c>
      <c r="BJ17" s="16">
        <f t="shared" si="21"/>
        <v>39</v>
      </c>
      <c r="BK17" s="16">
        <f t="shared" si="21"/>
        <v>68</v>
      </c>
      <c r="BL17" s="16">
        <f t="shared" si="22"/>
        <v>81</v>
      </c>
      <c r="BM17" s="16">
        <f t="shared" si="23"/>
        <v>0</v>
      </c>
      <c r="BN17" s="16">
        <f t="shared" si="23"/>
        <v>0</v>
      </c>
      <c r="BO17" s="16">
        <f t="shared" si="23"/>
        <v>0</v>
      </c>
      <c r="BP17" s="16">
        <f t="shared" si="24"/>
        <v>0</v>
      </c>
      <c r="BQ17" s="16">
        <f t="shared" si="25"/>
        <v>0</v>
      </c>
      <c r="BR17" s="16">
        <f t="shared" si="25"/>
        <v>0</v>
      </c>
      <c r="BS17" s="16">
        <f t="shared" si="25"/>
        <v>0</v>
      </c>
      <c r="BT17" s="16">
        <f t="shared" si="26"/>
        <v>0</v>
      </c>
      <c r="BU17" s="16">
        <f t="shared" si="27"/>
        <v>100</v>
      </c>
    </row>
    <row r="18" spans="1:73" ht="16.5" x14ac:dyDescent="0.3">
      <c r="A18" s="29">
        <v>10</v>
      </c>
      <c r="B18" s="18"/>
      <c r="C18" s="19">
        <v>54</v>
      </c>
      <c r="D18" s="20">
        <v>64</v>
      </c>
      <c r="E18" s="21">
        <f t="shared" si="15"/>
        <v>118</v>
      </c>
      <c r="F18" s="20">
        <v>0</v>
      </c>
      <c r="G18" s="20">
        <v>0</v>
      </c>
      <c r="H18" s="22">
        <v>0</v>
      </c>
      <c r="I18" s="20">
        <v>4</v>
      </c>
      <c r="J18" s="20">
        <v>4</v>
      </c>
      <c r="K18" s="23">
        <f t="shared" si="1"/>
        <v>8</v>
      </c>
      <c r="L18" s="20">
        <v>17</v>
      </c>
      <c r="M18" s="20">
        <v>19</v>
      </c>
      <c r="N18" s="24">
        <v>36</v>
      </c>
      <c r="O18" s="20">
        <v>0</v>
      </c>
      <c r="P18" s="20">
        <v>0</v>
      </c>
      <c r="Q18" s="25">
        <v>0</v>
      </c>
      <c r="R18" s="20">
        <v>0</v>
      </c>
      <c r="S18" s="20">
        <v>0</v>
      </c>
      <c r="T18" s="27">
        <f>SUM(R18:S18)</f>
        <v>0</v>
      </c>
      <c r="U18" s="20">
        <v>0</v>
      </c>
      <c r="V18" s="20">
        <v>0</v>
      </c>
      <c r="W18" s="22">
        <f t="shared" si="5"/>
        <v>0</v>
      </c>
      <c r="X18" s="20">
        <v>6</v>
      </c>
      <c r="Y18" s="20">
        <v>1</v>
      </c>
      <c r="Z18" s="23">
        <f t="shared" si="6"/>
        <v>7</v>
      </c>
      <c r="AA18" s="20">
        <v>24</v>
      </c>
      <c r="AB18" s="20">
        <v>35</v>
      </c>
      <c r="AC18" s="24">
        <f t="shared" si="7"/>
        <v>59</v>
      </c>
      <c r="AD18" s="20">
        <v>0</v>
      </c>
      <c r="AE18" s="20">
        <v>0</v>
      </c>
      <c r="AF18" s="25">
        <v>0</v>
      </c>
      <c r="AG18" s="20">
        <v>0</v>
      </c>
      <c r="AH18" s="20">
        <v>0</v>
      </c>
      <c r="AI18" s="27">
        <f>SUM(AG18:AH18)</f>
        <v>0</v>
      </c>
      <c r="AJ18" s="20">
        <v>0</v>
      </c>
      <c r="AK18" s="20">
        <v>0</v>
      </c>
      <c r="AL18" s="22">
        <f t="shared" si="10"/>
        <v>0</v>
      </c>
      <c r="AM18" s="20">
        <v>1</v>
      </c>
      <c r="AN18" s="20">
        <v>1</v>
      </c>
      <c r="AO18" s="23">
        <f t="shared" si="11"/>
        <v>2</v>
      </c>
      <c r="AP18" s="20">
        <v>2</v>
      </c>
      <c r="AQ18" s="20">
        <v>4</v>
      </c>
      <c r="AR18" s="24">
        <f t="shared" si="12"/>
        <v>6</v>
      </c>
      <c r="AS18" s="20">
        <v>0</v>
      </c>
      <c r="AT18" s="20">
        <v>0</v>
      </c>
      <c r="AU18" s="25">
        <v>0</v>
      </c>
      <c r="AV18" s="20">
        <v>0</v>
      </c>
      <c r="AW18" s="20">
        <v>0</v>
      </c>
      <c r="AX18" s="27">
        <f>SUM(AV18:AW18)</f>
        <v>0</v>
      </c>
      <c r="AZ18" s="28">
        <f t="shared" si="16"/>
        <v>118</v>
      </c>
      <c r="BA18" s="16">
        <f t="shared" si="17"/>
        <v>0</v>
      </c>
      <c r="BB18" s="16">
        <f t="shared" si="17"/>
        <v>0</v>
      </c>
      <c r="BC18" s="16">
        <f t="shared" si="17"/>
        <v>0</v>
      </c>
      <c r="BD18" s="16">
        <f t="shared" si="18"/>
        <v>0</v>
      </c>
      <c r="BE18" s="16">
        <f t="shared" si="19"/>
        <v>11</v>
      </c>
      <c r="BF18" s="16">
        <f t="shared" si="19"/>
        <v>6</v>
      </c>
      <c r="BG18" s="16">
        <f t="shared" si="19"/>
        <v>17</v>
      </c>
      <c r="BH18" s="16">
        <f t="shared" si="20"/>
        <v>14</v>
      </c>
      <c r="BI18" s="16">
        <f t="shared" si="21"/>
        <v>43</v>
      </c>
      <c r="BJ18" s="16">
        <f t="shared" si="21"/>
        <v>58</v>
      </c>
      <c r="BK18" s="16">
        <f t="shared" si="21"/>
        <v>101</v>
      </c>
      <c r="BL18" s="16">
        <f t="shared" si="22"/>
        <v>86</v>
      </c>
      <c r="BM18" s="16">
        <f t="shared" si="23"/>
        <v>0</v>
      </c>
      <c r="BN18" s="16">
        <f t="shared" si="23"/>
        <v>0</v>
      </c>
      <c r="BO18" s="16">
        <f t="shared" si="23"/>
        <v>0</v>
      </c>
      <c r="BP18" s="16">
        <f t="shared" si="24"/>
        <v>0</v>
      </c>
      <c r="BQ18" s="16">
        <f t="shared" si="25"/>
        <v>0</v>
      </c>
      <c r="BR18" s="16">
        <f t="shared" si="25"/>
        <v>0</v>
      </c>
      <c r="BS18" s="16">
        <f t="shared" si="25"/>
        <v>0</v>
      </c>
      <c r="BT18" s="16">
        <f t="shared" si="26"/>
        <v>0</v>
      </c>
      <c r="BU18" s="16">
        <f t="shared" si="27"/>
        <v>100</v>
      </c>
    </row>
    <row r="19" spans="1:73" ht="16.5" x14ac:dyDescent="0.3">
      <c r="A19" s="29">
        <v>11</v>
      </c>
      <c r="B19" s="18"/>
      <c r="C19" s="19">
        <v>65</v>
      </c>
      <c r="D19" s="20">
        <v>70</v>
      </c>
      <c r="E19" s="21">
        <f t="shared" si="15"/>
        <v>135</v>
      </c>
      <c r="F19" s="20">
        <v>1</v>
      </c>
      <c r="G19" s="20">
        <v>0</v>
      </c>
      <c r="H19" s="22">
        <f t="shared" si="0"/>
        <v>1</v>
      </c>
      <c r="I19" s="20">
        <v>2</v>
      </c>
      <c r="J19" s="20">
        <v>3</v>
      </c>
      <c r="K19" s="23">
        <f t="shared" si="1"/>
        <v>5</v>
      </c>
      <c r="L19" s="20">
        <v>21</v>
      </c>
      <c r="M19" s="20">
        <v>28</v>
      </c>
      <c r="N19" s="24">
        <f t="shared" si="2"/>
        <v>49</v>
      </c>
      <c r="O19" s="20">
        <v>0</v>
      </c>
      <c r="P19" s="20">
        <v>0</v>
      </c>
      <c r="Q19" s="25">
        <v>0</v>
      </c>
      <c r="R19" s="20">
        <v>0</v>
      </c>
      <c r="S19" s="20">
        <v>0</v>
      </c>
      <c r="T19" s="27">
        <f t="shared" ref="T19:T23" si="37">SUM(R19:S19)</f>
        <v>0</v>
      </c>
      <c r="U19" s="20">
        <v>1</v>
      </c>
      <c r="V19" s="20">
        <v>0</v>
      </c>
      <c r="W19" s="22">
        <f t="shared" si="5"/>
        <v>1</v>
      </c>
      <c r="X19" s="20">
        <v>4</v>
      </c>
      <c r="Y19" s="20">
        <v>3</v>
      </c>
      <c r="Z19" s="23">
        <f t="shared" si="6"/>
        <v>7</v>
      </c>
      <c r="AA19" s="20">
        <v>31</v>
      </c>
      <c r="AB19" s="20">
        <v>30</v>
      </c>
      <c r="AC19" s="24">
        <f t="shared" si="7"/>
        <v>61</v>
      </c>
      <c r="AD19" s="20">
        <v>0</v>
      </c>
      <c r="AE19" s="20">
        <v>0</v>
      </c>
      <c r="AF19" s="25">
        <f t="shared" ref="AF19:AF23" si="38">SUM(AD19:AE19)</f>
        <v>0</v>
      </c>
      <c r="AG19" s="20">
        <v>0</v>
      </c>
      <c r="AH19" s="20">
        <v>0</v>
      </c>
      <c r="AI19" s="27">
        <f t="shared" ref="AI19:AI23" si="39">SUM(AG19:AH19)</f>
        <v>0</v>
      </c>
      <c r="AJ19" s="20">
        <v>0</v>
      </c>
      <c r="AK19" s="20">
        <v>1</v>
      </c>
      <c r="AL19" s="22">
        <f t="shared" si="10"/>
        <v>1</v>
      </c>
      <c r="AM19" s="20">
        <v>0</v>
      </c>
      <c r="AN19" s="20">
        <v>0</v>
      </c>
      <c r="AO19" s="23">
        <f t="shared" si="11"/>
        <v>0</v>
      </c>
      <c r="AP19" s="20">
        <v>5</v>
      </c>
      <c r="AQ19" s="20">
        <v>5</v>
      </c>
      <c r="AR19" s="24">
        <f t="shared" si="12"/>
        <v>10</v>
      </c>
      <c r="AS19" s="20">
        <v>0</v>
      </c>
      <c r="AT19" s="20">
        <v>0</v>
      </c>
      <c r="AU19" s="25">
        <f t="shared" ref="AU19:AU23" si="40">SUM(AS19:AT19)</f>
        <v>0</v>
      </c>
      <c r="AV19" s="20">
        <v>0</v>
      </c>
      <c r="AW19" s="20">
        <v>0</v>
      </c>
      <c r="AX19" s="27">
        <f t="shared" ref="AX19:AX23" si="41">SUM(AV19:AW19)</f>
        <v>0</v>
      </c>
      <c r="AZ19" s="28">
        <f t="shared" si="16"/>
        <v>135</v>
      </c>
      <c r="BA19" s="16">
        <f t="shared" si="17"/>
        <v>2</v>
      </c>
      <c r="BB19" s="16">
        <f t="shared" si="17"/>
        <v>1</v>
      </c>
      <c r="BC19" s="16">
        <f t="shared" si="17"/>
        <v>3</v>
      </c>
      <c r="BD19" s="16">
        <f t="shared" si="18"/>
        <v>2</v>
      </c>
      <c r="BE19" s="16">
        <f t="shared" si="19"/>
        <v>6</v>
      </c>
      <c r="BF19" s="16">
        <f t="shared" si="19"/>
        <v>6</v>
      </c>
      <c r="BG19" s="16">
        <f t="shared" si="19"/>
        <v>12</v>
      </c>
      <c r="BH19" s="16">
        <f t="shared" si="20"/>
        <v>9</v>
      </c>
      <c r="BI19" s="16">
        <f t="shared" si="21"/>
        <v>57</v>
      </c>
      <c r="BJ19" s="16">
        <f t="shared" si="21"/>
        <v>63</v>
      </c>
      <c r="BK19" s="16">
        <f t="shared" si="21"/>
        <v>120</v>
      </c>
      <c r="BL19" s="16">
        <f t="shared" si="22"/>
        <v>89</v>
      </c>
      <c r="BM19" s="16">
        <f t="shared" si="23"/>
        <v>0</v>
      </c>
      <c r="BN19" s="16">
        <f t="shared" si="23"/>
        <v>0</v>
      </c>
      <c r="BO19" s="16">
        <f t="shared" si="23"/>
        <v>0</v>
      </c>
      <c r="BP19" s="16">
        <f t="shared" si="24"/>
        <v>0</v>
      </c>
      <c r="BQ19" s="16">
        <f t="shared" si="25"/>
        <v>0</v>
      </c>
      <c r="BR19" s="16">
        <f t="shared" si="25"/>
        <v>0</v>
      </c>
      <c r="BS19" s="16">
        <f t="shared" si="25"/>
        <v>0</v>
      </c>
      <c r="BT19" s="16">
        <f t="shared" si="26"/>
        <v>0</v>
      </c>
      <c r="BU19" s="16">
        <f t="shared" si="27"/>
        <v>100</v>
      </c>
    </row>
    <row r="20" spans="1:73" ht="16.5" x14ac:dyDescent="0.3">
      <c r="A20" s="29">
        <v>12</v>
      </c>
      <c r="B20" s="18"/>
      <c r="C20" s="19">
        <v>97</v>
      </c>
      <c r="D20" s="20">
        <v>110</v>
      </c>
      <c r="E20" s="21">
        <f t="shared" si="15"/>
        <v>207</v>
      </c>
      <c r="F20" s="20">
        <v>4</v>
      </c>
      <c r="G20" s="20">
        <v>4</v>
      </c>
      <c r="H20" s="22">
        <f>SUM(F20:G20)</f>
        <v>8</v>
      </c>
      <c r="I20" s="20">
        <v>4</v>
      </c>
      <c r="J20" s="20">
        <v>10</v>
      </c>
      <c r="K20" s="23">
        <f t="shared" si="1"/>
        <v>14</v>
      </c>
      <c r="L20" s="20">
        <v>27</v>
      </c>
      <c r="M20" s="20">
        <v>41</v>
      </c>
      <c r="N20" s="24">
        <f t="shared" si="2"/>
        <v>68</v>
      </c>
      <c r="O20" s="20">
        <v>0</v>
      </c>
      <c r="P20" s="20">
        <v>0</v>
      </c>
      <c r="Q20" s="25">
        <f t="shared" ref="Q20:Q23" si="42">SUM(O20:P20)</f>
        <v>0</v>
      </c>
      <c r="R20" s="20">
        <v>0</v>
      </c>
      <c r="S20" s="20">
        <v>0</v>
      </c>
      <c r="T20" s="27">
        <f t="shared" si="37"/>
        <v>0</v>
      </c>
      <c r="U20" s="20">
        <v>2</v>
      </c>
      <c r="V20" s="20">
        <v>0</v>
      </c>
      <c r="W20" s="22">
        <f>SUM(U20:V20)</f>
        <v>2</v>
      </c>
      <c r="X20" s="20">
        <v>8</v>
      </c>
      <c r="Y20" s="20">
        <v>8</v>
      </c>
      <c r="Z20" s="23">
        <f t="shared" si="6"/>
        <v>16</v>
      </c>
      <c r="AA20" s="20">
        <v>34</v>
      </c>
      <c r="AB20" s="20">
        <v>39</v>
      </c>
      <c r="AC20" s="24">
        <f t="shared" si="7"/>
        <v>73</v>
      </c>
      <c r="AD20" s="20">
        <v>0</v>
      </c>
      <c r="AE20" s="20">
        <v>0</v>
      </c>
      <c r="AF20" s="25">
        <f t="shared" si="38"/>
        <v>0</v>
      </c>
      <c r="AG20" s="20">
        <v>0</v>
      </c>
      <c r="AH20" s="20">
        <v>0</v>
      </c>
      <c r="AI20" s="27">
        <f t="shared" si="39"/>
        <v>0</v>
      </c>
      <c r="AJ20" s="20">
        <v>2</v>
      </c>
      <c r="AK20" s="20">
        <v>1</v>
      </c>
      <c r="AL20" s="22">
        <f>SUM(AJ20:AK20)</f>
        <v>3</v>
      </c>
      <c r="AM20" s="20">
        <v>1</v>
      </c>
      <c r="AN20" s="20">
        <v>1</v>
      </c>
      <c r="AO20" s="23">
        <f t="shared" si="11"/>
        <v>2</v>
      </c>
      <c r="AP20" s="20">
        <v>15</v>
      </c>
      <c r="AQ20" s="20">
        <v>6</v>
      </c>
      <c r="AR20" s="24">
        <f t="shared" si="12"/>
        <v>21</v>
      </c>
      <c r="AS20" s="20">
        <v>0</v>
      </c>
      <c r="AT20" s="20">
        <v>0</v>
      </c>
      <c r="AU20" s="25">
        <f t="shared" si="40"/>
        <v>0</v>
      </c>
      <c r="AV20" s="20">
        <v>0</v>
      </c>
      <c r="AW20" s="20">
        <v>0</v>
      </c>
      <c r="AX20" s="27">
        <f t="shared" si="41"/>
        <v>0</v>
      </c>
      <c r="AZ20" s="28">
        <f t="shared" si="16"/>
        <v>207</v>
      </c>
      <c r="BA20" s="16">
        <f t="shared" si="17"/>
        <v>8</v>
      </c>
      <c r="BB20" s="16">
        <f t="shared" si="17"/>
        <v>5</v>
      </c>
      <c r="BC20" s="16">
        <f t="shared" si="17"/>
        <v>13</v>
      </c>
      <c r="BD20" s="16">
        <f t="shared" si="18"/>
        <v>6</v>
      </c>
      <c r="BE20" s="16">
        <f t="shared" si="19"/>
        <v>13</v>
      </c>
      <c r="BF20" s="16">
        <f t="shared" si="19"/>
        <v>19</v>
      </c>
      <c r="BG20" s="16">
        <f t="shared" si="19"/>
        <v>32</v>
      </c>
      <c r="BH20" s="16">
        <f t="shared" si="20"/>
        <v>15</v>
      </c>
      <c r="BI20" s="16">
        <f t="shared" si="21"/>
        <v>76</v>
      </c>
      <c r="BJ20" s="16">
        <f t="shared" si="21"/>
        <v>86</v>
      </c>
      <c r="BK20" s="16">
        <f t="shared" si="21"/>
        <v>162</v>
      </c>
      <c r="BL20" s="16">
        <f t="shared" si="22"/>
        <v>78</v>
      </c>
      <c r="BM20" s="16">
        <f t="shared" si="23"/>
        <v>0</v>
      </c>
      <c r="BN20" s="16">
        <f t="shared" si="23"/>
        <v>0</v>
      </c>
      <c r="BO20" s="16">
        <f t="shared" si="23"/>
        <v>0</v>
      </c>
      <c r="BP20" s="16">
        <f t="shared" si="24"/>
        <v>0</v>
      </c>
      <c r="BQ20" s="16">
        <f t="shared" si="25"/>
        <v>0</v>
      </c>
      <c r="BR20" s="16">
        <f t="shared" si="25"/>
        <v>0</v>
      </c>
      <c r="BS20" s="16">
        <f t="shared" si="25"/>
        <v>0</v>
      </c>
      <c r="BT20" s="16">
        <f t="shared" si="26"/>
        <v>0</v>
      </c>
      <c r="BU20" s="16">
        <f t="shared" si="27"/>
        <v>99</v>
      </c>
    </row>
    <row r="21" spans="1:73" ht="16.5" x14ac:dyDescent="0.3">
      <c r="A21" s="29">
        <v>13</v>
      </c>
      <c r="B21" s="18"/>
      <c r="C21" s="19">
        <v>111</v>
      </c>
      <c r="D21" s="20">
        <v>92</v>
      </c>
      <c r="E21" s="21">
        <f t="shared" si="15"/>
        <v>203</v>
      </c>
      <c r="F21" s="20">
        <v>9</v>
      </c>
      <c r="G21" s="20">
        <v>1</v>
      </c>
      <c r="H21" s="22">
        <f t="shared" ref="H21:H23" si="43">SUM(F21:G21)</f>
        <v>10</v>
      </c>
      <c r="I21" s="20">
        <v>10</v>
      </c>
      <c r="J21" s="20">
        <v>5</v>
      </c>
      <c r="K21" s="23">
        <f t="shared" si="1"/>
        <v>15</v>
      </c>
      <c r="L21" s="20">
        <v>26</v>
      </c>
      <c r="M21" s="20">
        <v>34</v>
      </c>
      <c r="N21" s="24">
        <f t="shared" si="2"/>
        <v>60</v>
      </c>
      <c r="O21" s="20">
        <v>0</v>
      </c>
      <c r="P21" s="20">
        <v>0</v>
      </c>
      <c r="Q21" s="25">
        <f t="shared" si="42"/>
        <v>0</v>
      </c>
      <c r="R21" s="20">
        <v>0</v>
      </c>
      <c r="S21" s="20">
        <v>0</v>
      </c>
      <c r="T21" s="27">
        <f t="shared" si="37"/>
        <v>0</v>
      </c>
      <c r="U21" s="20">
        <v>18</v>
      </c>
      <c r="V21" s="20">
        <v>13</v>
      </c>
      <c r="W21" s="22">
        <f t="shared" ref="W21:W22" si="44">SUM(U21:V21)</f>
        <v>31</v>
      </c>
      <c r="X21" s="20">
        <v>10</v>
      </c>
      <c r="Y21" s="20">
        <v>10</v>
      </c>
      <c r="Z21" s="23">
        <f t="shared" si="6"/>
        <v>20</v>
      </c>
      <c r="AA21" s="20">
        <v>30</v>
      </c>
      <c r="AB21" s="20">
        <v>23</v>
      </c>
      <c r="AC21" s="24">
        <f t="shared" si="7"/>
        <v>53</v>
      </c>
      <c r="AD21" s="20">
        <v>0</v>
      </c>
      <c r="AE21" s="20">
        <v>0</v>
      </c>
      <c r="AF21" s="25">
        <f t="shared" si="38"/>
        <v>0</v>
      </c>
      <c r="AG21" s="20">
        <v>0</v>
      </c>
      <c r="AH21" s="20">
        <v>0</v>
      </c>
      <c r="AI21" s="27">
        <f t="shared" si="39"/>
        <v>0</v>
      </c>
      <c r="AJ21" s="20">
        <v>2</v>
      </c>
      <c r="AK21" s="20">
        <v>2</v>
      </c>
      <c r="AL21" s="22">
        <f t="shared" ref="AL21:AL23" si="45">SUM(AJ21:AK21)</f>
        <v>4</v>
      </c>
      <c r="AM21" s="20">
        <v>2</v>
      </c>
      <c r="AN21" s="20">
        <v>1</v>
      </c>
      <c r="AO21" s="23">
        <f t="shared" si="11"/>
        <v>3</v>
      </c>
      <c r="AP21" s="20">
        <v>4</v>
      </c>
      <c r="AQ21" s="20">
        <v>3</v>
      </c>
      <c r="AR21" s="24">
        <f t="shared" si="12"/>
        <v>7</v>
      </c>
      <c r="AS21" s="20">
        <v>0</v>
      </c>
      <c r="AT21" s="20">
        <v>0</v>
      </c>
      <c r="AU21" s="25">
        <f t="shared" si="40"/>
        <v>0</v>
      </c>
      <c r="AV21" s="20">
        <v>0</v>
      </c>
      <c r="AW21" s="20">
        <v>0</v>
      </c>
      <c r="AX21" s="27">
        <f t="shared" si="41"/>
        <v>0</v>
      </c>
      <c r="AZ21" s="28">
        <f t="shared" si="16"/>
        <v>203</v>
      </c>
      <c r="BA21" s="16">
        <f t="shared" si="17"/>
        <v>29</v>
      </c>
      <c r="BB21" s="16">
        <f t="shared" si="17"/>
        <v>16</v>
      </c>
      <c r="BC21" s="16">
        <f t="shared" si="17"/>
        <v>45</v>
      </c>
      <c r="BD21" s="16">
        <f t="shared" si="18"/>
        <v>22</v>
      </c>
      <c r="BE21" s="16">
        <f t="shared" si="19"/>
        <v>22</v>
      </c>
      <c r="BF21" s="16">
        <f t="shared" si="19"/>
        <v>16</v>
      </c>
      <c r="BG21" s="16">
        <f t="shared" si="19"/>
        <v>38</v>
      </c>
      <c r="BH21" s="16">
        <f t="shared" si="20"/>
        <v>19</v>
      </c>
      <c r="BI21" s="16">
        <f t="shared" si="21"/>
        <v>60</v>
      </c>
      <c r="BJ21" s="16">
        <f t="shared" si="21"/>
        <v>60</v>
      </c>
      <c r="BK21" s="16">
        <f t="shared" si="21"/>
        <v>120</v>
      </c>
      <c r="BL21" s="16">
        <f t="shared" si="22"/>
        <v>59</v>
      </c>
      <c r="BM21" s="16">
        <f t="shared" si="23"/>
        <v>0</v>
      </c>
      <c r="BN21" s="16">
        <f t="shared" si="23"/>
        <v>0</v>
      </c>
      <c r="BO21" s="16">
        <f t="shared" si="23"/>
        <v>0</v>
      </c>
      <c r="BP21" s="16">
        <f t="shared" si="24"/>
        <v>0</v>
      </c>
      <c r="BQ21" s="16">
        <f t="shared" si="25"/>
        <v>0</v>
      </c>
      <c r="BR21" s="16">
        <f t="shared" si="25"/>
        <v>0</v>
      </c>
      <c r="BS21" s="16">
        <f t="shared" si="25"/>
        <v>0</v>
      </c>
      <c r="BT21" s="16">
        <f t="shared" si="26"/>
        <v>0</v>
      </c>
      <c r="BU21" s="16">
        <f t="shared" si="27"/>
        <v>100</v>
      </c>
    </row>
    <row r="22" spans="1:73" ht="16.5" x14ac:dyDescent="0.3">
      <c r="A22" s="29">
        <v>14</v>
      </c>
      <c r="B22" s="18"/>
      <c r="C22" s="19">
        <v>80</v>
      </c>
      <c r="D22" s="20">
        <v>76</v>
      </c>
      <c r="E22" s="21">
        <f t="shared" si="15"/>
        <v>156</v>
      </c>
      <c r="F22" s="20">
        <v>0</v>
      </c>
      <c r="G22" s="20">
        <v>0</v>
      </c>
      <c r="H22" s="22">
        <f t="shared" si="43"/>
        <v>0</v>
      </c>
      <c r="I22" s="20">
        <v>6</v>
      </c>
      <c r="J22" s="20">
        <v>3</v>
      </c>
      <c r="K22" s="23">
        <f t="shared" si="1"/>
        <v>9</v>
      </c>
      <c r="L22" s="20">
        <v>23</v>
      </c>
      <c r="M22" s="20">
        <v>23</v>
      </c>
      <c r="N22" s="24">
        <f>SUM(L22:M22)</f>
        <v>46</v>
      </c>
      <c r="O22" s="20">
        <v>0</v>
      </c>
      <c r="P22" s="20">
        <v>0</v>
      </c>
      <c r="Q22" s="25">
        <f t="shared" si="42"/>
        <v>0</v>
      </c>
      <c r="R22" s="20">
        <v>0</v>
      </c>
      <c r="S22" s="20">
        <v>0</v>
      </c>
      <c r="T22" s="27">
        <f t="shared" si="37"/>
        <v>0</v>
      </c>
      <c r="U22" s="20">
        <v>4</v>
      </c>
      <c r="V22" s="20">
        <v>0</v>
      </c>
      <c r="W22" s="22">
        <f t="shared" si="44"/>
        <v>4</v>
      </c>
      <c r="X22" s="20">
        <v>6</v>
      </c>
      <c r="Y22" s="20">
        <v>4</v>
      </c>
      <c r="Z22" s="23">
        <f t="shared" si="6"/>
        <v>10</v>
      </c>
      <c r="AA22" s="20">
        <v>32</v>
      </c>
      <c r="AB22" s="20">
        <v>37</v>
      </c>
      <c r="AC22" s="24">
        <f t="shared" si="7"/>
        <v>69</v>
      </c>
      <c r="AD22" s="20">
        <v>0</v>
      </c>
      <c r="AE22" s="20">
        <v>0</v>
      </c>
      <c r="AF22" s="25">
        <f t="shared" si="38"/>
        <v>0</v>
      </c>
      <c r="AG22" s="20">
        <v>0</v>
      </c>
      <c r="AH22" s="20">
        <v>0</v>
      </c>
      <c r="AI22" s="27">
        <f t="shared" si="39"/>
        <v>0</v>
      </c>
      <c r="AJ22" s="20">
        <v>0</v>
      </c>
      <c r="AK22" s="20">
        <v>0</v>
      </c>
      <c r="AL22" s="22">
        <f t="shared" si="45"/>
        <v>0</v>
      </c>
      <c r="AM22" s="20">
        <v>2</v>
      </c>
      <c r="AN22" s="20">
        <v>1</v>
      </c>
      <c r="AO22" s="23">
        <f t="shared" si="11"/>
        <v>3</v>
      </c>
      <c r="AP22" s="20">
        <v>7</v>
      </c>
      <c r="AQ22" s="20">
        <v>8</v>
      </c>
      <c r="AR22" s="24">
        <f t="shared" si="12"/>
        <v>15</v>
      </c>
      <c r="AS22" s="20">
        <v>0</v>
      </c>
      <c r="AT22" s="20">
        <v>0</v>
      </c>
      <c r="AU22" s="25">
        <f t="shared" si="40"/>
        <v>0</v>
      </c>
      <c r="AV22" s="20">
        <v>0</v>
      </c>
      <c r="AW22" s="20">
        <v>0</v>
      </c>
      <c r="AX22" s="27">
        <f t="shared" si="41"/>
        <v>0</v>
      </c>
      <c r="AZ22" s="28">
        <f t="shared" si="16"/>
        <v>156</v>
      </c>
      <c r="BA22" s="16">
        <f t="shared" si="17"/>
        <v>4</v>
      </c>
      <c r="BB22" s="16">
        <f t="shared" si="17"/>
        <v>0</v>
      </c>
      <c r="BC22" s="16">
        <f t="shared" si="17"/>
        <v>4</v>
      </c>
      <c r="BD22" s="16">
        <f t="shared" si="18"/>
        <v>3</v>
      </c>
      <c r="BE22" s="16">
        <f t="shared" si="19"/>
        <v>14</v>
      </c>
      <c r="BF22" s="16">
        <f t="shared" si="19"/>
        <v>8</v>
      </c>
      <c r="BG22" s="16">
        <f t="shared" si="19"/>
        <v>22</v>
      </c>
      <c r="BH22" s="16">
        <f t="shared" si="20"/>
        <v>14</v>
      </c>
      <c r="BI22" s="16">
        <f t="shared" si="21"/>
        <v>62</v>
      </c>
      <c r="BJ22" s="16">
        <f t="shared" si="21"/>
        <v>68</v>
      </c>
      <c r="BK22" s="16">
        <f t="shared" si="21"/>
        <v>130</v>
      </c>
      <c r="BL22" s="16">
        <f t="shared" si="22"/>
        <v>83</v>
      </c>
      <c r="BM22" s="16">
        <f t="shared" si="23"/>
        <v>0</v>
      </c>
      <c r="BN22" s="16">
        <f t="shared" si="23"/>
        <v>0</v>
      </c>
      <c r="BO22" s="16">
        <f t="shared" si="23"/>
        <v>0</v>
      </c>
      <c r="BP22" s="16">
        <f t="shared" si="24"/>
        <v>0</v>
      </c>
      <c r="BQ22" s="16">
        <f t="shared" si="25"/>
        <v>0</v>
      </c>
      <c r="BR22" s="16">
        <f t="shared" si="25"/>
        <v>0</v>
      </c>
      <c r="BS22" s="16">
        <f t="shared" si="25"/>
        <v>0</v>
      </c>
      <c r="BT22" s="16">
        <f t="shared" si="26"/>
        <v>0</v>
      </c>
      <c r="BU22" s="16">
        <f t="shared" si="27"/>
        <v>100</v>
      </c>
    </row>
    <row r="23" spans="1:73" ht="16.5" x14ac:dyDescent="0.3">
      <c r="A23" s="29">
        <v>15</v>
      </c>
      <c r="B23" s="18"/>
      <c r="C23" s="19">
        <v>79</v>
      </c>
      <c r="D23" s="20">
        <v>80</v>
      </c>
      <c r="E23" s="21">
        <f t="shared" si="15"/>
        <v>159</v>
      </c>
      <c r="F23" s="20">
        <v>0</v>
      </c>
      <c r="G23" s="20">
        <v>0</v>
      </c>
      <c r="H23" s="22">
        <f t="shared" si="43"/>
        <v>0</v>
      </c>
      <c r="I23" s="20">
        <v>2</v>
      </c>
      <c r="J23" s="20">
        <v>3</v>
      </c>
      <c r="K23" s="23">
        <f t="shared" si="1"/>
        <v>5</v>
      </c>
      <c r="L23" s="20">
        <v>25</v>
      </c>
      <c r="M23" s="20">
        <v>30</v>
      </c>
      <c r="N23" s="24">
        <f>SUM(L23:M23)</f>
        <v>55</v>
      </c>
      <c r="O23" s="20">
        <v>0</v>
      </c>
      <c r="P23" s="20">
        <v>0</v>
      </c>
      <c r="Q23" s="25">
        <f t="shared" si="42"/>
        <v>0</v>
      </c>
      <c r="R23" s="20">
        <v>0</v>
      </c>
      <c r="S23" s="20">
        <v>0</v>
      </c>
      <c r="T23" s="27">
        <f t="shared" si="37"/>
        <v>0</v>
      </c>
      <c r="U23" s="20">
        <v>0</v>
      </c>
      <c r="V23" s="20">
        <v>0</v>
      </c>
      <c r="W23" s="22">
        <v>0</v>
      </c>
      <c r="X23" s="20">
        <v>3</v>
      </c>
      <c r="Y23" s="20">
        <v>1</v>
      </c>
      <c r="Z23" s="23">
        <f t="shared" si="6"/>
        <v>4</v>
      </c>
      <c r="AA23" s="20">
        <v>46</v>
      </c>
      <c r="AB23" s="20">
        <v>43</v>
      </c>
      <c r="AC23" s="24">
        <f t="shared" si="7"/>
        <v>89</v>
      </c>
      <c r="AD23" s="20">
        <v>0</v>
      </c>
      <c r="AE23" s="20">
        <v>0</v>
      </c>
      <c r="AF23" s="25">
        <f t="shared" si="38"/>
        <v>0</v>
      </c>
      <c r="AG23" s="20">
        <v>0</v>
      </c>
      <c r="AH23" s="20">
        <v>0</v>
      </c>
      <c r="AI23" s="27">
        <f t="shared" si="39"/>
        <v>0</v>
      </c>
      <c r="AJ23" s="20">
        <v>0</v>
      </c>
      <c r="AK23" s="20">
        <v>0</v>
      </c>
      <c r="AL23" s="22">
        <f t="shared" si="45"/>
        <v>0</v>
      </c>
      <c r="AM23" s="20">
        <v>0</v>
      </c>
      <c r="AN23" s="20">
        <v>0</v>
      </c>
      <c r="AO23" s="23">
        <f t="shared" si="11"/>
        <v>0</v>
      </c>
      <c r="AP23" s="20">
        <v>4</v>
      </c>
      <c r="AQ23" s="20">
        <v>2</v>
      </c>
      <c r="AR23" s="24">
        <f t="shared" si="12"/>
        <v>6</v>
      </c>
      <c r="AS23" s="20">
        <v>0</v>
      </c>
      <c r="AT23" s="20">
        <v>0</v>
      </c>
      <c r="AU23" s="25">
        <f t="shared" si="40"/>
        <v>0</v>
      </c>
      <c r="AV23" s="20">
        <v>0</v>
      </c>
      <c r="AW23" s="20">
        <v>0</v>
      </c>
      <c r="AX23" s="27">
        <f t="shared" si="41"/>
        <v>0</v>
      </c>
      <c r="AZ23" s="28">
        <f>H23+K23+N23+Q23+T23+W23+Z23+AC23+AF23+AI23+AL23+AO23+AR23+AU23+AX23</f>
        <v>159</v>
      </c>
      <c r="BA23" s="16">
        <f t="shared" si="17"/>
        <v>0</v>
      </c>
      <c r="BB23" s="16">
        <f t="shared" si="17"/>
        <v>0</v>
      </c>
      <c r="BC23" s="16">
        <f t="shared" si="17"/>
        <v>0</v>
      </c>
      <c r="BD23" s="16">
        <f t="shared" si="18"/>
        <v>0</v>
      </c>
      <c r="BE23" s="16">
        <f t="shared" si="19"/>
        <v>5</v>
      </c>
      <c r="BF23" s="16">
        <f t="shared" si="19"/>
        <v>4</v>
      </c>
      <c r="BG23" s="16">
        <f t="shared" si="19"/>
        <v>9</v>
      </c>
      <c r="BH23" s="16">
        <f t="shared" si="20"/>
        <v>6</v>
      </c>
      <c r="BI23" s="16">
        <f t="shared" si="21"/>
        <v>75</v>
      </c>
      <c r="BJ23" s="16">
        <f t="shared" si="21"/>
        <v>75</v>
      </c>
      <c r="BK23" s="16">
        <f t="shared" si="21"/>
        <v>150</v>
      </c>
      <c r="BL23" s="16">
        <f t="shared" si="22"/>
        <v>94</v>
      </c>
      <c r="BM23" s="16">
        <f t="shared" si="23"/>
        <v>0</v>
      </c>
      <c r="BN23" s="16">
        <f t="shared" si="23"/>
        <v>0</v>
      </c>
      <c r="BO23" s="16">
        <f t="shared" si="23"/>
        <v>0</v>
      </c>
      <c r="BP23" s="16">
        <f t="shared" si="24"/>
        <v>0</v>
      </c>
      <c r="BQ23" s="16">
        <f t="shared" si="25"/>
        <v>0</v>
      </c>
      <c r="BR23" s="16">
        <f t="shared" si="25"/>
        <v>0</v>
      </c>
      <c r="BS23" s="16">
        <f t="shared" si="25"/>
        <v>0</v>
      </c>
      <c r="BT23" s="16">
        <f t="shared" si="26"/>
        <v>0</v>
      </c>
      <c r="BU23" s="16">
        <f t="shared" si="27"/>
        <v>100</v>
      </c>
    </row>
    <row r="24" spans="1:73" ht="16.5" x14ac:dyDescent="0.3">
      <c r="A24" s="29">
        <v>16</v>
      </c>
      <c r="B24" s="18"/>
      <c r="C24" s="19"/>
      <c r="D24" s="20"/>
      <c r="E24" s="21"/>
      <c r="F24" s="20"/>
      <c r="G24" s="20"/>
      <c r="H24" s="22"/>
      <c r="I24" s="20"/>
      <c r="J24" s="20"/>
      <c r="K24" s="23"/>
      <c r="L24" s="20"/>
      <c r="M24" s="20"/>
      <c r="N24" s="24"/>
      <c r="O24" s="20"/>
      <c r="P24" s="20"/>
      <c r="Q24" s="25"/>
      <c r="R24" s="20"/>
      <c r="S24" s="20"/>
      <c r="T24" s="27"/>
      <c r="U24" s="20"/>
      <c r="V24" s="20"/>
      <c r="W24" s="22"/>
      <c r="X24" s="20"/>
      <c r="Y24" s="20"/>
      <c r="Z24" s="23"/>
      <c r="AA24" s="20"/>
      <c r="AB24" s="20"/>
      <c r="AC24" s="24"/>
      <c r="AD24" s="20"/>
      <c r="AE24" s="20"/>
      <c r="AF24" s="25"/>
      <c r="AG24" s="20"/>
      <c r="AH24" s="20"/>
      <c r="AI24" s="27"/>
      <c r="AJ24" s="20"/>
      <c r="AK24" s="20"/>
      <c r="AL24" s="22"/>
      <c r="AM24" s="20"/>
      <c r="AN24" s="20"/>
      <c r="AO24" s="23"/>
      <c r="AP24" s="20"/>
      <c r="AQ24" s="20"/>
      <c r="AR24" s="24"/>
      <c r="AS24" s="20"/>
      <c r="AT24" s="20"/>
      <c r="AU24" s="25"/>
      <c r="AV24" s="20"/>
      <c r="AW24" s="20"/>
      <c r="AX24" s="27"/>
      <c r="AZ24" s="28"/>
      <c r="BA24" s="16">
        <f t="shared" si="17"/>
        <v>0</v>
      </c>
      <c r="BB24" s="16">
        <f t="shared" si="17"/>
        <v>0</v>
      </c>
      <c r="BC24" s="16">
        <f t="shared" si="17"/>
        <v>0</v>
      </c>
      <c r="BD24" s="16" t="e">
        <f t="shared" si="18"/>
        <v>#DIV/0!</v>
      </c>
      <c r="BE24" s="16">
        <f t="shared" si="19"/>
        <v>0</v>
      </c>
      <c r="BF24" s="16">
        <f t="shared" si="19"/>
        <v>0</v>
      </c>
      <c r="BG24" s="16">
        <f t="shared" si="19"/>
        <v>0</v>
      </c>
      <c r="BH24" s="16" t="e">
        <f t="shared" si="20"/>
        <v>#DIV/0!</v>
      </c>
      <c r="BI24" s="16">
        <f t="shared" si="21"/>
        <v>0</v>
      </c>
      <c r="BJ24" s="16">
        <f t="shared" si="21"/>
        <v>0</v>
      </c>
      <c r="BK24" s="16">
        <f t="shared" si="21"/>
        <v>0</v>
      </c>
      <c r="BL24" s="16" t="e">
        <f t="shared" si="22"/>
        <v>#DIV/0!</v>
      </c>
      <c r="BM24" s="16">
        <f t="shared" si="23"/>
        <v>0</v>
      </c>
      <c r="BN24" s="16">
        <f t="shared" si="23"/>
        <v>0</v>
      </c>
      <c r="BO24" s="16">
        <f t="shared" si="23"/>
        <v>0</v>
      </c>
      <c r="BP24" s="16" t="e">
        <f t="shared" si="24"/>
        <v>#DIV/0!</v>
      </c>
      <c r="BQ24" s="16">
        <f t="shared" si="25"/>
        <v>0</v>
      </c>
      <c r="BR24" s="16">
        <f t="shared" si="25"/>
        <v>0</v>
      </c>
      <c r="BS24" s="16">
        <f t="shared" si="25"/>
        <v>0</v>
      </c>
      <c r="BT24" s="16" t="e">
        <f t="shared" si="26"/>
        <v>#DIV/0!</v>
      </c>
      <c r="BU24" s="16" t="e">
        <f t="shared" si="27"/>
        <v>#DIV/0!</v>
      </c>
    </row>
    <row r="25" spans="1:73" ht="16.5" x14ac:dyDescent="0.3">
      <c r="A25" s="29">
        <v>17</v>
      </c>
      <c r="B25" s="18"/>
      <c r="C25" s="19"/>
      <c r="D25" s="20"/>
      <c r="E25" s="21"/>
      <c r="F25" s="20"/>
      <c r="G25" s="20"/>
      <c r="H25" s="22"/>
      <c r="I25" s="20"/>
      <c r="J25" s="20"/>
      <c r="K25" s="23"/>
      <c r="L25" s="20"/>
      <c r="M25" s="20"/>
      <c r="N25" s="24"/>
      <c r="O25" s="20"/>
      <c r="P25" s="20"/>
      <c r="Q25" s="25"/>
      <c r="R25" s="20"/>
      <c r="S25" s="20"/>
      <c r="T25" s="27"/>
      <c r="U25" s="20"/>
      <c r="V25" s="20"/>
      <c r="W25" s="22"/>
      <c r="X25" s="20"/>
      <c r="Y25" s="20"/>
      <c r="Z25" s="23"/>
      <c r="AA25" s="20"/>
      <c r="AB25" s="20"/>
      <c r="AC25" s="24"/>
      <c r="AD25" s="20"/>
      <c r="AE25" s="20"/>
      <c r="AF25" s="25"/>
      <c r="AG25" s="20"/>
      <c r="AH25" s="20"/>
      <c r="AI25" s="27"/>
      <c r="AJ25" s="20"/>
      <c r="AK25" s="20"/>
      <c r="AL25" s="22"/>
      <c r="AM25" s="20"/>
      <c r="AN25" s="20"/>
      <c r="AO25" s="23"/>
      <c r="AP25" s="20"/>
      <c r="AQ25" s="20"/>
      <c r="AR25" s="24"/>
      <c r="AS25" s="20"/>
      <c r="AT25" s="20"/>
      <c r="AU25" s="25"/>
      <c r="AV25" s="20"/>
      <c r="AW25" s="20"/>
      <c r="AX25" s="27"/>
      <c r="AZ25" s="28"/>
      <c r="BA25" s="16">
        <f t="shared" si="17"/>
        <v>0</v>
      </c>
      <c r="BB25" s="16">
        <f t="shared" si="17"/>
        <v>0</v>
      </c>
      <c r="BC25" s="16">
        <f t="shared" si="17"/>
        <v>0</v>
      </c>
      <c r="BD25" s="16" t="e">
        <f t="shared" si="18"/>
        <v>#DIV/0!</v>
      </c>
      <c r="BE25" s="16">
        <f t="shared" si="19"/>
        <v>0</v>
      </c>
      <c r="BF25" s="16">
        <f t="shared" si="19"/>
        <v>0</v>
      </c>
      <c r="BG25" s="16">
        <f t="shared" si="19"/>
        <v>0</v>
      </c>
      <c r="BH25" s="16" t="e">
        <f t="shared" si="20"/>
        <v>#DIV/0!</v>
      </c>
      <c r="BI25" s="16">
        <f t="shared" si="21"/>
        <v>0</v>
      </c>
      <c r="BJ25" s="16">
        <f t="shared" si="21"/>
        <v>0</v>
      </c>
      <c r="BK25" s="16">
        <f t="shared" si="21"/>
        <v>0</v>
      </c>
      <c r="BL25" s="16" t="e">
        <f t="shared" si="22"/>
        <v>#DIV/0!</v>
      </c>
      <c r="BM25" s="16">
        <f t="shared" si="23"/>
        <v>0</v>
      </c>
      <c r="BN25" s="16">
        <f t="shared" si="23"/>
        <v>0</v>
      </c>
      <c r="BO25" s="16">
        <f t="shared" si="23"/>
        <v>0</v>
      </c>
      <c r="BP25" s="16" t="e">
        <f t="shared" si="24"/>
        <v>#DIV/0!</v>
      </c>
      <c r="BQ25" s="16">
        <f t="shared" si="25"/>
        <v>0</v>
      </c>
      <c r="BR25" s="16">
        <f t="shared" si="25"/>
        <v>0</v>
      </c>
      <c r="BS25" s="16">
        <f t="shared" si="25"/>
        <v>0</v>
      </c>
      <c r="BT25" s="16" t="e">
        <f t="shared" si="26"/>
        <v>#DIV/0!</v>
      </c>
      <c r="BU25" s="16" t="e">
        <f t="shared" si="27"/>
        <v>#DIV/0!</v>
      </c>
    </row>
    <row r="26" spans="1:73" ht="16.5" x14ac:dyDescent="0.3">
      <c r="A26" s="29">
        <v>18</v>
      </c>
      <c r="B26" s="18"/>
      <c r="C26" s="19"/>
      <c r="D26" s="20"/>
      <c r="E26" s="21"/>
      <c r="F26" s="20"/>
      <c r="G26" s="20"/>
      <c r="H26" s="22"/>
      <c r="I26" s="20"/>
      <c r="J26" s="20"/>
      <c r="K26" s="23"/>
      <c r="L26" s="20"/>
      <c r="M26" s="20"/>
      <c r="N26" s="24"/>
      <c r="O26" s="20"/>
      <c r="P26" s="20"/>
      <c r="Q26" s="25"/>
      <c r="R26" s="20"/>
      <c r="S26" s="20"/>
      <c r="T26" s="27"/>
      <c r="U26" s="20"/>
      <c r="V26" s="20"/>
      <c r="W26" s="22"/>
      <c r="X26" s="20"/>
      <c r="Y26" s="20"/>
      <c r="Z26" s="23"/>
      <c r="AA26" s="20"/>
      <c r="AB26" s="20"/>
      <c r="AC26" s="24"/>
      <c r="AD26" s="20"/>
      <c r="AE26" s="20"/>
      <c r="AF26" s="25"/>
      <c r="AG26" s="20"/>
      <c r="AH26" s="20"/>
      <c r="AI26" s="27"/>
      <c r="AJ26" s="20"/>
      <c r="AK26" s="20"/>
      <c r="AL26" s="22"/>
      <c r="AM26" s="20"/>
      <c r="AN26" s="20"/>
      <c r="AO26" s="23"/>
      <c r="AP26" s="20"/>
      <c r="AQ26" s="20"/>
      <c r="AR26" s="24"/>
      <c r="AS26" s="20"/>
      <c r="AT26" s="20"/>
      <c r="AU26" s="25"/>
      <c r="AV26" s="20"/>
      <c r="AW26" s="20"/>
      <c r="AX26" s="27"/>
      <c r="AZ26" s="28"/>
      <c r="BA26" s="16">
        <f t="shared" si="17"/>
        <v>0</v>
      </c>
      <c r="BB26" s="16">
        <f t="shared" si="17"/>
        <v>0</v>
      </c>
      <c r="BC26" s="16">
        <f t="shared" si="17"/>
        <v>0</v>
      </c>
      <c r="BD26" s="16" t="e">
        <f t="shared" si="18"/>
        <v>#DIV/0!</v>
      </c>
      <c r="BE26" s="16">
        <f t="shared" si="19"/>
        <v>0</v>
      </c>
      <c r="BF26" s="16">
        <f t="shared" si="19"/>
        <v>0</v>
      </c>
      <c r="BG26" s="16">
        <f t="shared" si="19"/>
        <v>0</v>
      </c>
      <c r="BH26" s="16" t="e">
        <f t="shared" si="20"/>
        <v>#DIV/0!</v>
      </c>
      <c r="BI26" s="16">
        <f t="shared" si="21"/>
        <v>0</v>
      </c>
      <c r="BJ26" s="16">
        <f t="shared" si="21"/>
        <v>0</v>
      </c>
      <c r="BK26" s="16">
        <f t="shared" si="21"/>
        <v>0</v>
      </c>
      <c r="BL26" s="16" t="e">
        <f t="shared" si="22"/>
        <v>#DIV/0!</v>
      </c>
      <c r="BM26" s="16">
        <f t="shared" si="23"/>
        <v>0</v>
      </c>
      <c r="BN26" s="16">
        <f t="shared" si="23"/>
        <v>0</v>
      </c>
      <c r="BO26" s="16">
        <f t="shared" si="23"/>
        <v>0</v>
      </c>
      <c r="BP26" s="16" t="e">
        <f t="shared" si="24"/>
        <v>#DIV/0!</v>
      </c>
      <c r="BQ26" s="16">
        <f t="shared" si="25"/>
        <v>0</v>
      </c>
      <c r="BR26" s="16">
        <f t="shared" si="25"/>
        <v>0</v>
      </c>
      <c r="BS26" s="16">
        <f t="shared" si="25"/>
        <v>0</v>
      </c>
      <c r="BT26" s="16" t="e">
        <f t="shared" si="26"/>
        <v>#DIV/0!</v>
      </c>
      <c r="BU26" s="16" t="e">
        <f t="shared" si="27"/>
        <v>#DIV/0!</v>
      </c>
    </row>
    <row r="27" spans="1:73" ht="16.5" x14ac:dyDescent="0.3">
      <c r="A27" s="29">
        <v>19</v>
      </c>
      <c r="B27" s="18"/>
      <c r="C27" s="19"/>
      <c r="D27" s="20"/>
      <c r="E27" s="21"/>
      <c r="F27" s="20"/>
      <c r="G27" s="20"/>
      <c r="H27" s="22"/>
      <c r="I27" s="20"/>
      <c r="J27" s="20"/>
      <c r="K27" s="23"/>
      <c r="L27" s="20"/>
      <c r="M27" s="20"/>
      <c r="N27" s="24"/>
      <c r="O27" s="20"/>
      <c r="P27" s="20"/>
      <c r="Q27" s="25"/>
      <c r="R27" s="20"/>
      <c r="S27" s="20"/>
      <c r="T27" s="27"/>
      <c r="U27" s="20"/>
      <c r="V27" s="20"/>
      <c r="W27" s="22"/>
      <c r="X27" s="20"/>
      <c r="Y27" s="20"/>
      <c r="Z27" s="23"/>
      <c r="AA27" s="20"/>
      <c r="AB27" s="20"/>
      <c r="AC27" s="24"/>
      <c r="AD27" s="20"/>
      <c r="AE27" s="20"/>
      <c r="AF27" s="25"/>
      <c r="AG27" s="20"/>
      <c r="AH27" s="20"/>
      <c r="AI27" s="27"/>
      <c r="AJ27" s="20"/>
      <c r="AK27" s="20"/>
      <c r="AL27" s="22"/>
      <c r="AM27" s="20"/>
      <c r="AN27" s="20"/>
      <c r="AO27" s="23"/>
      <c r="AP27" s="20"/>
      <c r="AQ27" s="20"/>
      <c r="AR27" s="24"/>
      <c r="AS27" s="20"/>
      <c r="AT27" s="20"/>
      <c r="AU27" s="25"/>
      <c r="AV27" s="20"/>
      <c r="AW27" s="20"/>
      <c r="AX27" s="27"/>
      <c r="AZ27" s="28"/>
      <c r="BA27" s="16">
        <f t="shared" si="17"/>
        <v>0</v>
      </c>
      <c r="BB27" s="16">
        <f t="shared" si="17"/>
        <v>0</v>
      </c>
      <c r="BC27" s="16">
        <f t="shared" si="17"/>
        <v>0</v>
      </c>
      <c r="BD27" s="16" t="e">
        <f t="shared" si="18"/>
        <v>#DIV/0!</v>
      </c>
      <c r="BE27" s="16">
        <f t="shared" si="19"/>
        <v>0</v>
      </c>
      <c r="BF27" s="16">
        <f t="shared" si="19"/>
        <v>0</v>
      </c>
      <c r="BG27" s="16">
        <f t="shared" si="19"/>
        <v>0</v>
      </c>
      <c r="BH27" s="16" t="e">
        <f t="shared" si="20"/>
        <v>#DIV/0!</v>
      </c>
      <c r="BI27" s="16">
        <f t="shared" si="21"/>
        <v>0</v>
      </c>
      <c r="BJ27" s="16">
        <f t="shared" si="21"/>
        <v>0</v>
      </c>
      <c r="BK27" s="16">
        <f t="shared" si="21"/>
        <v>0</v>
      </c>
      <c r="BL27" s="16" t="e">
        <f t="shared" si="22"/>
        <v>#DIV/0!</v>
      </c>
      <c r="BM27" s="16">
        <f t="shared" si="23"/>
        <v>0</v>
      </c>
      <c r="BN27" s="16">
        <f t="shared" si="23"/>
        <v>0</v>
      </c>
      <c r="BO27" s="16">
        <f t="shared" si="23"/>
        <v>0</v>
      </c>
      <c r="BP27" s="16" t="e">
        <f t="shared" si="24"/>
        <v>#DIV/0!</v>
      </c>
      <c r="BQ27" s="16">
        <f t="shared" si="25"/>
        <v>0</v>
      </c>
      <c r="BR27" s="16">
        <f t="shared" si="25"/>
        <v>0</v>
      </c>
      <c r="BS27" s="16">
        <f t="shared" si="25"/>
        <v>0</v>
      </c>
      <c r="BT27" s="16" t="e">
        <f t="shared" si="26"/>
        <v>#DIV/0!</v>
      </c>
      <c r="BU27" s="16" t="e">
        <f t="shared" si="27"/>
        <v>#DIV/0!</v>
      </c>
    </row>
    <row r="28" spans="1:73" ht="16.5" x14ac:dyDescent="0.3">
      <c r="A28" s="29">
        <v>20</v>
      </c>
      <c r="B28" s="18"/>
      <c r="C28" s="19"/>
      <c r="D28" s="20"/>
      <c r="E28" s="21"/>
      <c r="F28" s="20"/>
      <c r="G28" s="20"/>
      <c r="H28" s="22"/>
      <c r="I28" s="20"/>
      <c r="J28" s="20"/>
      <c r="K28" s="23"/>
      <c r="L28" s="20"/>
      <c r="M28" s="20"/>
      <c r="N28" s="24"/>
      <c r="O28" s="20"/>
      <c r="P28" s="20"/>
      <c r="Q28" s="25"/>
      <c r="R28" s="20"/>
      <c r="S28" s="20"/>
      <c r="T28" s="27"/>
      <c r="U28" s="20"/>
      <c r="V28" s="20"/>
      <c r="W28" s="22"/>
      <c r="X28" s="20"/>
      <c r="Y28" s="20"/>
      <c r="Z28" s="23"/>
      <c r="AA28" s="20"/>
      <c r="AB28" s="20"/>
      <c r="AC28" s="24"/>
      <c r="AD28" s="20"/>
      <c r="AE28" s="20"/>
      <c r="AF28" s="25"/>
      <c r="AG28" s="20"/>
      <c r="AH28" s="20"/>
      <c r="AI28" s="27"/>
      <c r="AJ28" s="20"/>
      <c r="AK28" s="20"/>
      <c r="AL28" s="22"/>
      <c r="AM28" s="20"/>
      <c r="AN28" s="20"/>
      <c r="AO28" s="23"/>
      <c r="AP28" s="20"/>
      <c r="AQ28" s="20"/>
      <c r="AR28" s="24"/>
      <c r="AS28" s="20"/>
      <c r="AT28" s="20"/>
      <c r="AU28" s="25"/>
      <c r="AV28" s="20"/>
      <c r="AW28" s="20"/>
      <c r="AX28" s="27"/>
      <c r="AZ28" s="28"/>
      <c r="BA28" s="16">
        <f t="shared" si="17"/>
        <v>0</v>
      </c>
      <c r="BB28" s="16">
        <f t="shared" si="17"/>
        <v>0</v>
      </c>
      <c r="BC28" s="16">
        <f t="shared" si="17"/>
        <v>0</v>
      </c>
      <c r="BD28" s="16" t="e">
        <f t="shared" si="18"/>
        <v>#DIV/0!</v>
      </c>
      <c r="BE28" s="16">
        <f t="shared" si="19"/>
        <v>0</v>
      </c>
      <c r="BF28" s="16">
        <f t="shared" si="19"/>
        <v>0</v>
      </c>
      <c r="BG28" s="16">
        <f t="shared" si="19"/>
        <v>0</v>
      </c>
      <c r="BH28" s="16" t="e">
        <f t="shared" si="20"/>
        <v>#DIV/0!</v>
      </c>
      <c r="BI28" s="16">
        <f t="shared" si="21"/>
        <v>0</v>
      </c>
      <c r="BJ28" s="16">
        <f t="shared" si="21"/>
        <v>0</v>
      </c>
      <c r="BK28" s="16">
        <f t="shared" si="21"/>
        <v>0</v>
      </c>
      <c r="BL28" s="16" t="e">
        <f t="shared" si="22"/>
        <v>#DIV/0!</v>
      </c>
      <c r="BM28" s="16">
        <f t="shared" si="23"/>
        <v>0</v>
      </c>
      <c r="BN28" s="16">
        <f t="shared" si="23"/>
        <v>0</v>
      </c>
      <c r="BO28" s="16">
        <f t="shared" si="23"/>
        <v>0</v>
      </c>
      <c r="BP28" s="16" t="e">
        <f t="shared" si="24"/>
        <v>#DIV/0!</v>
      </c>
      <c r="BQ28" s="16">
        <f t="shared" si="25"/>
        <v>0</v>
      </c>
      <c r="BR28" s="16">
        <f t="shared" si="25"/>
        <v>0</v>
      </c>
      <c r="BS28" s="16">
        <f t="shared" si="25"/>
        <v>0</v>
      </c>
      <c r="BT28" s="16" t="e">
        <f t="shared" si="26"/>
        <v>#DIV/0!</v>
      </c>
      <c r="BU28" s="16" t="e">
        <f t="shared" si="27"/>
        <v>#DIV/0!</v>
      </c>
    </row>
    <row r="29" spans="1:73" ht="18.75" x14ac:dyDescent="0.3">
      <c r="A29" s="30" t="s">
        <v>28</v>
      </c>
      <c r="B29" s="31"/>
      <c r="C29" s="32">
        <f t="shared" ref="C29:AX29" si="46">SUM(C9:C23)</f>
        <v>1080</v>
      </c>
      <c r="D29" s="32">
        <f t="shared" si="46"/>
        <v>1091</v>
      </c>
      <c r="E29" s="32">
        <f t="shared" si="46"/>
        <v>2171</v>
      </c>
      <c r="F29" s="32">
        <f t="shared" si="46"/>
        <v>36</v>
      </c>
      <c r="G29" s="32">
        <f t="shared" si="46"/>
        <v>17</v>
      </c>
      <c r="H29" s="32">
        <f t="shared" si="46"/>
        <v>53</v>
      </c>
      <c r="I29" s="32">
        <f t="shared" si="46"/>
        <v>53</v>
      </c>
      <c r="J29" s="32">
        <f t="shared" si="46"/>
        <v>47</v>
      </c>
      <c r="K29" s="32">
        <f t="shared" si="46"/>
        <v>100</v>
      </c>
      <c r="L29" s="32">
        <f t="shared" si="46"/>
        <v>348</v>
      </c>
      <c r="M29" s="32">
        <f t="shared" si="46"/>
        <v>445</v>
      </c>
      <c r="N29" s="32">
        <f t="shared" si="46"/>
        <v>793</v>
      </c>
      <c r="O29" s="32">
        <f t="shared" si="46"/>
        <v>1</v>
      </c>
      <c r="P29" s="32">
        <f t="shared" si="46"/>
        <v>4</v>
      </c>
      <c r="Q29" s="32">
        <f t="shared" si="46"/>
        <v>5</v>
      </c>
      <c r="R29" s="32">
        <f t="shared" si="46"/>
        <v>0</v>
      </c>
      <c r="S29" s="33">
        <f t="shared" si="46"/>
        <v>0</v>
      </c>
      <c r="T29" s="32">
        <f t="shared" si="46"/>
        <v>0</v>
      </c>
      <c r="U29" s="32">
        <f t="shared" si="46"/>
        <v>57</v>
      </c>
      <c r="V29" s="32">
        <f t="shared" si="46"/>
        <v>26</v>
      </c>
      <c r="W29" s="32">
        <f t="shared" si="46"/>
        <v>83</v>
      </c>
      <c r="X29" s="32">
        <f t="shared" si="46"/>
        <v>95</v>
      </c>
      <c r="Y29" s="32">
        <f t="shared" si="46"/>
        <v>63</v>
      </c>
      <c r="Z29" s="32">
        <f t="shared" si="46"/>
        <v>158</v>
      </c>
      <c r="AA29" s="32">
        <f t="shared" si="46"/>
        <v>410</v>
      </c>
      <c r="AB29" s="32">
        <f t="shared" si="46"/>
        <v>430</v>
      </c>
      <c r="AC29" s="32">
        <f t="shared" si="46"/>
        <v>840</v>
      </c>
      <c r="AD29" s="32">
        <f t="shared" si="46"/>
        <v>0</v>
      </c>
      <c r="AE29" s="32">
        <f t="shared" si="46"/>
        <v>0</v>
      </c>
      <c r="AF29" s="32">
        <f t="shared" si="46"/>
        <v>0</v>
      </c>
      <c r="AG29" s="32">
        <f t="shared" si="46"/>
        <v>0</v>
      </c>
      <c r="AH29" s="33">
        <f t="shared" si="46"/>
        <v>0</v>
      </c>
      <c r="AI29" s="32">
        <f t="shared" si="46"/>
        <v>0</v>
      </c>
      <c r="AJ29" s="32">
        <f t="shared" si="46"/>
        <v>7</v>
      </c>
      <c r="AK29" s="32">
        <f t="shared" si="46"/>
        <v>5</v>
      </c>
      <c r="AL29" s="32">
        <f t="shared" si="46"/>
        <v>12</v>
      </c>
      <c r="AM29" s="32">
        <f t="shared" si="46"/>
        <v>12</v>
      </c>
      <c r="AN29" s="32">
        <f t="shared" si="46"/>
        <v>6</v>
      </c>
      <c r="AO29" s="32">
        <f t="shared" si="46"/>
        <v>18</v>
      </c>
      <c r="AP29" s="32">
        <f t="shared" si="46"/>
        <v>66</v>
      </c>
      <c r="AQ29" s="32">
        <f t="shared" si="46"/>
        <v>43</v>
      </c>
      <c r="AR29" s="32">
        <f t="shared" si="46"/>
        <v>109</v>
      </c>
      <c r="AS29" s="32">
        <f t="shared" si="46"/>
        <v>0</v>
      </c>
      <c r="AT29" s="32">
        <f t="shared" si="46"/>
        <v>0</v>
      </c>
      <c r="AU29" s="32">
        <f t="shared" si="46"/>
        <v>0</v>
      </c>
      <c r="AV29" s="32">
        <f t="shared" si="46"/>
        <v>0</v>
      </c>
      <c r="AW29" s="33">
        <f t="shared" si="46"/>
        <v>0</v>
      </c>
      <c r="AX29" s="32">
        <f t="shared" si="46"/>
        <v>0</v>
      </c>
      <c r="AZ29" s="34">
        <f t="shared" si="16"/>
        <v>2171</v>
      </c>
      <c r="BA29" s="16">
        <f t="shared" ref="BA29:BC29" si="47">F29+U29+AJ29</f>
        <v>100</v>
      </c>
      <c r="BB29" s="16">
        <f t="shared" si="47"/>
        <v>48</v>
      </c>
      <c r="BC29" s="16">
        <f t="shared" si="47"/>
        <v>148</v>
      </c>
      <c r="BD29" s="16">
        <f t="shared" si="18"/>
        <v>7</v>
      </c>
      <c r="BE29" s="16">
        <f t="shared" ref="BE29:BG29" si="48">I29+X29+AM29</f>
        <v>160</v>
      </c>
      <c r="BF29" s="16">
        <f t="shared" si="48"/>
        <v>116</v>
      </c>
      <c r="BG29" s="16">
        <f t="shared" si="48"/>
        <v>276</v>
      </c>
      <c r="BH29" s="16">
        <f t="shared" si="20"/>
        <v>13</v>
      </c>
      <c r="BI29" s="16">
        <f t="shared" ref="BI29:BK29" si="49">L29+AA29+AP29</f>
        <v>824</v>
      </c>
      <c r="BJ29" s="16">
        <f t="shared" si="49"/>
        <v>918</v>
      </c>
      <c r="BK29" s="16">
        <f t="shared" si="49"/>
        <v>1742</v>
      </c>
      <c r="BL29" s="16">
        <f t="shared" si="22"/>
        <v>80</v>
      </c>
      <c r="BM29" s="16">
        <f t="shared" ref="BM29:BO29" si="50">O29+AD29+AS29</f>
        <v>1</v>
      </c>
      <c r="BN29" s="16">
        <f t="shared" si="50"/>
        <v>4</v>
      </c>
      <c r="BO29" s="16">
        <f t="shared" si="50"/>
        <v>5</v>
      </c>
      <c r="BP29" s="16">
        <f t="shared" si="24"/>
        <v>0</v>
      </c>
      <c r="BQ29" s="16">
        <f t="shared" ref="BQ29:BS29" si="51">R29+AG29+AV29</f>
        <v>0</v>
      </c>
      <c r="BR29" s="16">
        <f t="shared" si="51"/>
        <v>0</v>
      </c>
      <c r="BS29" s="16">
        <f t="shared" si="51"/>
        <v>0</v>
      </c>
      <c r="BT29" s="16">
        <f t="shared" si="26"/>
        <v>0</v>
      </c>
      <c r="BU29" s="16">
        <f t="shared" si="27"/>
        <v>100</v>
      </c>
    </row>
  </sheetData>
  <mergeCells count="33">
    <mergeCell ref="A6:A8"/>
    <mergeCell ref="B6:B8"/>
    <mergeCell ref="C6:E7"/>
    <mergeCell ref="F6:T6"/>
    <mergeCell ref="U6:AI6"/>
    <mergeCell ref="A1:AZ1"/>
    <mergeCell ref="A2:AZ2"/>
    <mergeCell ref="A3:AZ3"/>
    <mergeCell ref="A4:AZ4"/>
    <mergeCell ref="A5:AZ5"/>
    <mergeCell ref="AP7:AR7"/>
    <mergeCell ref="AJ6:AX6"/>
    <mergeCell ref="AZ6:AZ8"/>
    <mergeCell ref="BA6:BU6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BQ7:BT7"/>
    <mergeCell ref="AS7:AU7"/>
    <mergeCell ref="AV7:AX7"/>
    <mergeCell ref="BA7:BD7"/>
    <mergeCell ref="BE7:BH7"/>
    <mergeCell ref="BI7:BL7"/>
    <mergeCell ref="BM7:B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dcsi.rein@gmail.com</dc:creator>
  <cp:lastModifiedBy>dcsi.rein@gmail.com</cp:lastModifiedBy>
  <dcterms:created xsi:type="dcterms:W3CDTF">2026-10-22T14:22:32Z</dcterms:created>
  <dcterms:modified xsi:type="dcterms:W3CDTF">2026-10-22T14:38:33Z</dcterms:modified>
</cp:coreProperties>
</file>