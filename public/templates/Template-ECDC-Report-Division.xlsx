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\Documents\Systems\stars\public\templates\"/>
    </mc:Choice>
  </mc:AlternateContent>
  <xr:revisionPtr revIDLastSave="0" documentId="13_ncr:1_{A290805D-4515-4F55-81E5-F6BE872A129C}" xr6:coauthVersionLast="47" xr6:coauthVersionMax="47" xr10:uidLastSave="{00000000-0000-0000-0000-000000000000}"/>
  <bookViews>
    <workbookView xWindow="-120" yWindow="-120" windowWidth="29040" windowHeight="15720" xr2:uid="{3F88BBA1-0267-4A16-8D02-54B13DBE691D}"/>
  </bookViews>
  <sheets>
    <sheet name="Division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8" i="1" l="1"/>
  <c r="AV58" i="1"/>
  <c r="AT58" i="1"/>
  <c r="AS58" i="1"/>
  <c r="AQ58" i="1"/>
  <c r="AP58" i="1"/>
  <c r="AN58" i="1"/>
  <c r="AM58" i="1"/>
  <c r="AK58" i="1"/>
  <c r="AJ58" i="1"/>
  <c r="AH58" i="1"/>
  <c r="AG58" i="1"/>
  <c r="AE58" i="1"/>
  <c r="AD58" i="1"/>
  <c r="AB58" i="1"/>
  <c r="AA58" i="1"/>
  <c r="Y58" i="1"/>
  <c r="X58" i="1"/>
  <c r="V58" i="1"/>
  <c r="U58" i="1"/>
  <c r="S58" i="1"/>
  <c r="BR58" i="1" s="1"/>
  <c r="R58" i="1"/>
  <c r="BQ58" i="1" s="1"/>
  <c r="P58" i="1"/>
  <c r="BN58" i="1" s="1"/>
  <c r="O58" i="1"/>
  <c r="BM58" i="1" s="1"/>
  <c r="M58" i="1"/>
  <c r="BJ58" i="1" s="1"/>
  <c r="L58" i="1"/>
  <c r="BI58" i="1" s="1"/>
  <c r="J58" i="1"/>
  <c r="BF58" i="1" s="1"/>
  <c r="I58" i="1"/>
  <c r="BE58" i="1" s="1"/>
  <c r="G58" i="1"/>
  <c r="BB58" i="1" s="1"/>
  <c r="F58" i="1"/>
  <c r="BA58" i="1" s="1"/>
  <c r="D58" i="1"/>
  <c r="C58" i="1"/>
  <c r="BS57" i="1"/>
  <c r="BT57" i="1" s="1"/>
  <c r="BR57" i="1"/>
  <c r="BQ57" i="1"/>
  <c r="BO57" i="1"/>
  <c r="BP57" i="1" s="1"/>
  <c r="BN57" i="1"/>
  <c r="BM57" i="1"/>
  <c r="BK57" i="1"/>
  <c r="BL57" i="1" s="1"/>
  <c r="BJ57" i="1"/>
  <c r="BI57" i="1"/>
  <c r="BG57" i="1"/>
  <c r="BH57" i="1" s="1"/>
  <c r="BF57" i="1"/>
  <c r="BE57" i="1"/>
  <c r="BC57" i="1"/>
  <c r="BD57" i="1" s="1"/>
  <c r="BU57" i="1" s="1"/>
  <c r="BB57" i="1"/>
  <c r="BA57" i="1"/>
  <c r="BS56" i="1"/>
  <c r="BT56" i="1" s="1"/>
  <c r="BR56" i="1"/>
  <c r="BQ56" i="1"/>
  <c r="BO56" i="1"/>
  <c r="BP56" i="1" s="1"/>
  <c r="BN56" i="1"/>
  <c r="BM56" i="1"/>
  <c r="BK56" i="1"/>
  <c r="BL56" i="1" s="1"/>
  <c r="BJ56" i="1"/>
  <c r="BI56" i="1"/>
  <c r="BG56" i="1"/>
  <c r="BH56" i="1" s="1"/>
  <c r="BF56" i="1"/>
  <c r="BE56" i="1"/>
  <c r="BC56" i="1"/>
  <c r="BD56" i="1" s="1"/>
  <c r="BU56" i="1" s="1"/>
  <c r="BB56" i="1"/>
  <c r="BA56" i="1"/>
  <c r="BS55" i="1"/>
  <c r="BT55" i="1" s="1"/>
  <c r="BR55" i="1"/>
  <c r="BQ55" i="1"/>
  <c r="BO55" i="1"/>
  <c r="BP55" i="1" s="1"/>
  <c r="BN55" i="1"/>
  <c r="BM55" i="1"/>
  <c r="BK55" i="1"/>
  <c r="BL55" i="1" s="1"/>
  <c r="BJ55" i="1"/>
  <c r="BI55" i="1"/>
  <c r="BG55" i="1"/>
  <c r="BH55" i="1" s="1"/>
  <c r="BF55" i="1"/>
  <c r="BE55" i="1"/>
  <c r="BC55" i="1"/>
  <c r="BD55" i="1" s="1"/>
  <c r="BU55" i="1" s="1"/>
  <c r="BB55" i="1"/>
  <c r="BA55" i="1"/>
  <c r="BS54" i="1"/>
  <c r="BT54" i="1" s="1"/>
  <c r="BR54" i="1"/>
  <c r="BQ54" i="1"/>
  <c r="BO54" i="1"/>
  <c r="BP54" i="1" s="1"/>
  <c r="BN54" i="1"/>
  <c r="BM54" i="1"/>
  <c r="BK54" i="1"/>
  <c r="BL54" i="1" s="1"/>
  <c r="BJ54" i="1"/>
  <c r="BI54" i="1"/>
  <c r="BG54" i="1"/>
  <c r="BH54" i="1" s="1"/>
  <c r="BF54" i="1"/>
  <c r="BE54" i="1"/>
  <c r="BC54" i="1"/>
  <c r="BD54" i="1" s="1"/>
  <c r="BU54" i="1" s="1"/>
  <c r="BB54" i="1"/>
  <c r="BA54" i="1"/>
  <c r="BS47" i="1"/>
  <c r="BT47" i="1" s="1"/>
  <c r="BR47" i="1"/>
  <c r="BQ47" i="1"/>
  <c r="BO47" i="1"/>
  <c r="BP47" i="1" s="1"/>
  <c r="BN47" i="1"/>
  <c r="BM47" i="1"/>
  <c r="BK47" i="1"/>
  <c r="BL47" i="1" s="1"/>
  <c r="BJ47" i="1"/>
  <c r="BI47" i="1"/>
  <c r="BG47" i="1"/>
  <c r="BH47" i="1" s="1"/>
  <c r="BF47" i="1"/>
  <c r="BE47" i="1"/>
  <c r="BC47" i="1"/>
  <c r="BD47" i="1" s="1"/>
  <c r="BU47" i="1" s="1"/>
  <c r="BB47" i="1"/>
  <c r="BA47" i="1"/>
  <c r="BR46" i="1"/>
  <c r="BQ46" i="1"/>
  <c r="BN46" i="1"/>
  <c r="BM46" i="1"/>
  <c r="BJ46" i="1"/>
  <c r="BI46" i="1"/>
  <c r="BF46" i="1"/>
  <c r="BE46" i="1"/>
  <c r="BB46" i="1"/>
  <c r="BA46" i="1"/>
  <c r="AX46" i="1"/>
  <c r="AU46" i="1"/>
  <c r="AR46" i="1"/>
  <c r="AO46" i="1"/>
  <c r="AL46" i="1"/>
  <c r="AI46" i="1"/>
  <c r="AF46" i="1"/>
  <c r="AC46" i="1"/>
  <c r="Z46" i="1"/>
  <c r="T46" i="1"/>
  <c r="BS46" i="1" s="1"/>
  <c r="BT46" i="1" s="1"/>
  <c r="Q46" i="1"/>
  <c r="BO46" i="1" s="1"/>
  <c r="BP46" i="1" s="1"/>
  <c r="N46" i="1"/>
  <c r="BK46" i="1" s="1"/>
  <c r="BL46" i="1" s="1"/>
  <c r="K46" i="1"/>
  <c r="BG46" i="1" s="1"/>
  <c r="BH46" i="1" s="1"/>
  <c r="H46" i="1"/>
  <c r="E46" i="1"/>
  <c r="BR45" i="1"/>
  <c r="BQ45" i="1"/>
  <c r="BN45" i="1"/>
  <c r="BM45" i="1"/>
  <c r="BJ45" i="1"/>
  <c r="BI45" i="1"/>
  <c r="BF45" i="1"/>
  <c r="BE45" i="1"/>
  <c r="BB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BS45" i="1" s="1"/>
  <c r="BT45" i="1" s="1"/>
  <c r="Q45" i="1"/>
  <c r="BO45" i="1" s="1"/>
  <c r="BP45" i="1" s="1"/>
  <c r="N45" i="1"/>
  <c r="BK45" i="1" s="1"/>
  <c r="BL45" i="1" s="1"/>
  <c r="K45" i="1"/>
  <c r="BG45" i="1" s="1"/>
  <c r="BH45" i="1" s="1"/>
  <c r="H45" i="1"/>
  <c r="E45" i="1"/>
  <c r="BR44" i="1"/>
  <c r="BQ44" i="1"/>
  <c r="BN44" i="1"/>
  <c r="BM44" i="1"/>
  <c r="BJ44" i="1"/>
  <c r="BI44" i="1"/>
  <c r="BF44" i="1"/>
  <c r="BE44" i="1"/>
  <c r="BB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BS44" i="1" s="1"/>
  <c r="BT44" i="1" s="1"/>
  <c r="Q44" i="1"/>
  <c r="BO44" i="1" s="1"/>
  <c r="BP44" i="1" s="1"/>
  <c r="N44" i="1"/>
  <c r="BK44" i="1" s="1"/>
  <c r="BL44" i="1" s="1"/>
  <c r="K44" i="1"/>
  <c r="BG44" i="1" s="1"/>
  <c r="BH44" i="1" s="1"/>
  <c r="H44" i="1"/>
  <c r="E44" i="1"/>
  <c r="BR43" i="1"/>
  <c r="BQ43" i="1"/>
  <c r="BN43" i="1"/>
  <c r="BM43" i="1"/>
  <c r="BJ43" i="1"/>
  <c r="BI43" i="1"/>
  <c r="BF43" i="1"/>
  <c r="BE43" i="1"/>
  <c r="BB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BS43" i="1" s="1"/>
  <c r="BT43" i="1" s="1"/>
  <c r="Q43" i="1"/>
  <c r="BO43" i="1" s="1"/>
  <c r="BP43" i="1" s="1"/>
  <c r="N43" i="1"/>
  <c r="BK43" i="1" s="1"/>
  <c r="BL43" i="1" s="1"/>
  <c r="K43" i="1"/>
  <c r="BG43" i="1" s="1"/>
  <c r="BH43" i="1" s="1"/>
  <c r="H43" i="1"/>
  <c r="E43" i="1"/>
  <c r="BR42" i="1"/>
  <c r="BQ42" i="1"/>
  <c r="BN42" i="1"/>
  <c r="BM42" i="1"/>
  <c r="BJ42" i="1"/>
  <c r="BI42" i="1"/>
  <c r="BF42" i="1"/>
  <c r="BE42" i="1"/>
  <c r="BB42" i="1"/>
  <c r="BA42" i="1"/>
  <c r="AX42" i="1"/>
  <c r="AU42" i="1"/>
  <c r="AR42" i="1"/>
  <c r="AO42" i="1"/>
  <c r="AL42" i="1"/>
  <c r="AI42" i="1"/>
  <c r="AF42" i="1"/>
  <c r="BO42" i="1" s="1"/>
  <c r="BP42" i="1" s="1"/>
  <c r="AC42" i="1"/>
  <c r="Z42" i="1"/>
  <c r="W42" i="1"/>
  <c r="T42" i="1"/>
  <c r="BS42" i="1" s="1"/>
  <c r="BT42" i="1" s="1"/>
  <c r="N42" i="1"/>
  <c r="BK42" i="1" s="1"/>
  <c r="BL42" i="1" s="1"/>
  <c r="K42" i="1"/>
  <c r="BG42" i="1" s="1"/>
  <c r="BH42" i="1" s="1"/>
  <c r="H42" i="1"/>
  <c r="E42" i="1"/>
  <c r="BR41" i="1"/>
  <c r="BQ41" i="1"/>
  <c r="BO41" i="1"/>
  <c r="BP41" i="1" s="1"/>
  <c r="BN41" i="1"/>
  <c r="BM41" i="1"/>
  <c r="BJ41" i="1"/>
  <c r="BI41" i="1"/>
  <c r="BF41" i="1"/>
  <c r="BE41" i="1"/>
  <c r="BB41" i="1"/>
  <c r="BA41" i="1"/>
  <c r="AX41" i="1"/>
  <c r="AR41" i="1"/>
  <c r="AO41" i="1"/>
  <c r="AL41" i="1"/>
  <c r="AI41" i="1"/>
  <c r="AC41" i="1"/>
  <c r="BK41" i="1" s="1"/>
  <c r="BL41" i="1" s="1"/>
  <c r="Z41" i="1"/>
  <c r="W41" i="1"/>
  <c r="BC41" i="1" s="1"/>
  <c r="BD41" i="1" s="1"/>
  <c r="T41" i="1"/>
  <c r="BS41" i="1" s="1"/>
  <c r="BT41" i="1" s="1"/>
  <c r="K41" i="1"/>
  <c r="E41" i="1"/>
  <c r="BS40" i="1"/>
  <c r="BT40" i="1" s="1"/>
  <c r="BR40" i="1"/>
  <c r="BQ40" i="1"/>
  <c r="BN40" i="1"/>
  <c r="BM40" i="1"/>
  <c r="BJ40" i="1"/>
  <c r="BI40" i="1"/>
  <c r="BF40" i="1"/>
  <c r="BE40" i="1"/>
  <c r="BB40" i="1"/>
  <c r="BA40" i="1"/>
  <c r="AU40" i="1"/>
  <c r="AR40" i="1"/>
  <c r="AO40" i="1"/>
  <c r="AL40" i="1"/>
  <c r="AF40" i="1"/>
  <c r="AC40" i="1"/>
  <c r="Z40" i="1"/>
  <c r="W40" i="1"/>
  <c r="Q40" i="1"/>
  <c r="BO40" i="1" s="1"/>
  <c r="BP40" i="1" s="1"/>
  <c r="N40" i="1"/>
  <c r="BK40" i="1" s="1"/>
  <c r="BL40" i="1" s="1"/>
  <c r="K40" i="1"/>
  <c r="BG40" i="1" s="1"/>
  <c r="BH40" i="1" s="1"/>
  <c r="H40" i="1"/>
  <c r="E40" i="1"/>
  <c r="BR39" i="1"/>
  <c r="BQ39" i="1"/>
  <c r="BN39" i="1"/>
  <c r="BM39" i="1"/>
  <c r="BJ39" i="1"/>
  <c r="BI39" i="1"/>
  <c r="BF39" i="1"/>
  <c r="BE39" i="1"/>
  <c r="BB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BS39" i="1" s="1"/>
  <c r="BT39" i="1" s="1"/>
  <c r="Q39" i="1"/>
  <c r="BO39" i="1" s="1"/>
  <c r="BP39" i="1" s="1"/>
  <c r="N39" i="1"/>
  <c r="BK39" i="1" s="1"/>
  <c r="BL39" i="1" s="1"/>
  <c r="K39" i="1"/>
  <c r="BG39" i="1" s="1"/>
  <c r="BH39" i="1" s="1"/>
  <c r="H39" i="1"/>
  <c r="E39" i="1"/>
  <c r="BS38" i="1"/>
  <c r="BT38" i="1" s="1"/>
  <c r="BR38" i="1"/>
  <c r="BQ38" i="1"/>
  <c r="BO38" i="1"/>
  <c r="BP38" i="1" s="1"/>
  <c r="BN38" i="1"/>
  <c r="BM38" i="1"/>
  <c r="BJ38" i="1"/>
  <c r="BI38" i="1"/>
  <c r="BF38" i="1"/>
  <c r="BE38" i="1"/>
  <c r="BB38" i="1"/>
  <c r="BA38" i="1"/>
  <c r="AR38" i="1"/>
  <c r="AO38" i="1"/>
  <c r="AL38" i="1"/>
  <c r="AC38" i="1"/>
  <c r="Z38" i="1"/>
  <c r="W38" i="1"/>
  <c r="N38" i="1"/>
  <c r="BK38" i="1" s="1"/>
  <c r="BL38" i="1" s="1"/>
  <c r="K38" i="1"/>
  <c r="BG38" i="1" s="1"/>
  <c r="BH38" i="1" s="1"/>
  <c r="H38" i="1"/>
  <c r="E38" i="1"/>
  <c r="BR37" i="1"/>
  <c r="BQ37" i="1"/>
  <c r="BN37" i="1"/>
  <c r="BM37" i="1"/>
  <c r="BJ37" i="1"/>
  <c r="BI37" i="1"/>
  <c r="BF37" i="1"/>
  <c r="BE37" i="1"/>
  <c r="BB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BS37" i="1" s="1"/>
  <c r="BT37" i="1" s="1"/>
  <c r="Q37" i="1"/>
  <c r="BO37" i="1" s="1"/>
  <c r="BP37" i="1" s="1"/>
  <c r="N37" i="1"/>
  <c r="BK37" i="1" s="1"/>
  <c r="BL37" i="1" s="1"/>
  <c r="K37" i="1"/>
  <c r="BG37" i="1" s="1"/>
  <c r="BH37" i="1" s="1"/>
  <c r="H37" i="1"/>
  <c r="E37" i="1"/>
  <c r="BR36" i="1"/>
  <c r="BQ36" i="1"/>
  <c r="BN36" i="1"/>
  <c r="BM36" i="1"/>
  <c r="BJ36" i="1"/>
  <c r="BI36" i="1"/>
  <c r="BF36" i="1"/>
  <c r="BE36" i="1"/>
  <c r="BB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BS36" i="1" s="1"/>
  <c r="BT36" i="1" s="1"/>
  <c r="Q36" i="1"/>
  <c r="BO36" i="1" s="1"/>
  <c r="BP36" i="1" s="1"/>
  <c r="N36" i="1"/>
  <c r="BK36" i="1" s="1"/>
  <c r="BL36" i="1" s="1"/>
  <c r="K36" i="1"/>
  <c r="BG36" i="1" s="1"/>
  <c r="BH36" i="1" s="1"/>
  <c r="H36" i="1"/>
  <c r="E36" i="1"/>
  <c r="BR35" i="1"/>
  <c r="BQ35" i="1"/>
  <c r="BN35" i="1"/>
  <c r="BM35" i="1"/>
  <c r="BJ35" i="1"/>
  <c r="BI35" i="1"/>
  <c r="BF35" i="1"/>
  <c r="BE35" i="1"/>
  <c r="BB35" i="1"/>
  <c r="BA35" i="1"/>
  <c r="AX35" i="1"/>
  <c r="AU35" i="1"/>
  <c r="AR35" i="1"/>
  <c r="AO35" i="1"/>
  <c r="AL35" i="1"/>
  <c r="AI35" i="1"/>
  <c r="AF35" i="1"/>
  <c r="BO35" i="1" s="1"/>
  <c r="BP35" i="1" s="1"/>
  <c r="AC35" i="1"/>
  <c r="BK35" i="1" s="1"/>
  <c r="BL35" i="1" s="1"/>
  <c r="Z35" i="1"/>
  <c r="BG35" i="1" s="1"/>
  <c r="BH35" i="1" s="1"/>
  <c r="W35" i="1"/>
  <c r="T35" i="1"/>
  <c r="BS35" i="1" s="1"/>
  <c r="BT35" i="1" s="1"/>
  <c r="H35" i="1"/>
  <c r="E35" i="1"/>
  <c r="BR34" i="1"/>
  <c r="BQ34" i="1"/>
  <c r="BN34" i="1"/>
  <c r="BM34" i="1"/>
  <c r="BJ34" i="1"/>
  <c r="BI34" i="1"/>
  <c r="BF34" i="1"/>
  <c r="BE34" i="1"/>
  <c r="BB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BS34" i="1" s="1"/>
  <c r="BT34" i="1" s="1"/>
  <c r="Q34" i="1"/>
  <c r="BO34" i="1" s="1"/>
  <c r="BP34" i="1" s="1"/>
  <c r="N34" i="1"/>
  <c r="BK34" i="1" s="1"/>
  <c r="BL34" i="1" s="1"/>
  <c r="K34" i="1"/>
  <c r="BG34" i="1" s="1"/>
  <c r="BH34" i="1" s="1"/>
  <c r="H34" i="1"/>
  <c r="E34" i="1"/>
  <c r="BR33" i="1"/>
  <c r="BQ33" i="1"/>
  <c r="BN33" i="1"/>
  <c r="BM33" i="1"/>
  <c r="BJ33" i="1"/>
  <c r="BI33" i="1"/>
  <c r="BF33" i="1"/>
  <c r="BE33" i="1"/>
  <c r="BB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BS33" i="1" s="1"/>
  <c r="BT33" i="1" s="1"/>
  <c r="Q33" i="1"/>
  <c r="BO33" i="1" s="1"/>
  <c r="BP33" i="1" s="1"/>
  <c r="N33" i="1"/>
  <c r="BK33" i="1" s="1"/>
  <c r="BL33" i="1" s="1"/>
  <c r="K33" i="1"/>
  <c r="BG33" i="1" s="1"/>
  <c r="BH33" i="1" s="1"/>
  <c r="H33" i="1"/>
  <c r="E33" i="1"/>
  <c r="BR32" i="1"/>
  <c r="BQ32" i="1"/>
  <c r="BN32" i="1"/>
  <c r="BM32" i="1"/>
  <c r="BJ32" i="1"/>
  <c r="BI32" i="1"/>
  <c r="BF32" i="1"/>
  <c r="BE32" i="1"/>
  <c r="BB32" i="1"/>
  <c r="BA32" i="1"/>
  <c r="AX32" i="1"/>
  <c r="AX58" i="1" s="1"/>
  <c r="AU32" i="1"/>
  <c r="AU58" i="1" s="1"/>
  <c r="AR32" i="1"/>
  <c r="AR58" i="1" s="1"/>
  <c r="AO32" i="1"/>
  <c r="AO58" i="1" s="1"/>
  <c r="AL32" i="1"/>
  <c r="AL58" i="1" s="1"/>
  <c r="AI32" i="1"/>
  <c r="AI58" i="1" s="1"/>
  <c r="AF32" i="1"/>
  <c r="AF58" i="1" s="1"/>
  <c r="AC32" i="1"/>
  <c r="AC58" i="1" s="1"/>
  <c r="Z32" i="1"/>
  <c r="Z58" i="1" s="1"/>
  <c r="W32" i="1"/>
  <c r="W58" i="1" s="1"/>
  <c r="T32" i="1"/>
  <c r="Q32" i="1"/>
  <c r="N32" i="1"/>
  <c r="K32" i="1"/>
  <c r="H32" i="1"/>
  <c r="E32" i="1"/>
  <c r="E58" i="1" s="1"/>
  <c r="S23" i="1"/>
  <c r="R23" i="1"/>
  <c r="P23" i="1"/>
  <c r="O23" i="1"/>
  <c r="M23" i="1"/>
  <c r="L23" i="1"/>
  <c r="J23" i="1"/>
  <c r="I23" i="1"/>
  <c r="G23" i="1"/>
  <c r="F23" i="1"/>
  <c r="D23" i="1"/>
  <c r="C23" i="1"/>
  <c r="T22" i="1"/>
  <c r="Q22" i="1"/>
  <c r="N22" i="1"/>
  <c r="K22" i="1"/>
  <c r="H22" i="1"/>
  <c r="E22" i="1"/>
  <c r="T21" i="1"/>
  <c r="Q21" i="1"/>
  <c r="N21" i="1"/>
  <c r="H21" i="1"/>
  <c r="T20" i="1"/>
  <c r="Q20" i="1"/>
  <c r="N20" i="1"/>
  <c r="K20" i="1"/>
  <c r="H20" i="1"/>
  <c r="E20" i="1"/>
  <c r="T19" i="1"/>
  <c r="Q19" i="1"/>
  <c r="N19" i="1"/>
  <c r="K19" i="1"/>
  <c r="H19" i="1"/>
  <c r="E19" i="1"/>
  <c r="T18" i="1"/>
  <c r="Q18" i="1"/>
  <c r="N18" i="1"/>
  <c r="K18" i="1"/>
  <c r="H18" i="1"/>
  <c r="E18" i="1"/>
  <c r="T17" i="1"/>
  <c r="Q17" i="1"/>
  <c r="N17" i="1"/>
  <c r="K17" i="1"/>
  <c r="H17" i="1"/>
  <c r="E17" i="1"/>
  <c r="T16" i="1"/>
  <c r="Q16" i="1"/>
  <c r="N16" i="1"/>
  <c r="K16" i="1"/>
  <c r="H16" i="1"/>
  <c r="E16" i="1"/>
  <c r="T15" i="1"/>
  <c r="Q15" i="1"/>
  <c r="N15" i="1"/>
  <c r="K15" i="1"/>
  <c r="H15" i="1"/>
  <c r="E15" i="1"/>
  <c r="T14" i="1"/>
  <c r="Q14" i="1"/>
  <c r="N14" i="1"/>
  <c r="K14" i="1"/>
  <c r="H14" i="1"/>
  <c r="E14" i="1"/>
  <c r="T13" i="1"/>
  <c r="Q13" i="1"/>
  <c r="N13" i="1"/>
  <c r="K13" i="1"/>
  <c r="H13" i="1"/>
  <c r="E13" i="1"/>
  <c r="T12" i="1"/>
  <c r="Q12" i="1"/>
  <c r="N12" i="1"/>
  <c r="K12" i="1"/>
  <c r="H12" i="1"/>
  <c r="E12" i="1"/>
  <c r="T11" i="1"/>
  <c r="Q11" i="1"/>
  <c r="N11" i="1"/>
  <c r="K11" i="1"/>
  <c r="H11" i="1"/>
  <c r="E11" i="1"/>
  <c r="T10" i="1"/>
  <c r="Q10" i="1"/>
  <c r="N10" i="1"/>
  <c r="K10" i="1"/>
  <c r="H10" i="1"/>
  <c r="E10" i="1"/>
  <c r="T9" i="1"/>
  <c r="Q9" i="1"/>
  <c r="N9" i="1"/>
  <c r="K9" i="1"/>
  <c r="H9" i="1"/>
  <c r="E9" i="1"/>
  <c r="T8" i="1"/>
  <c r="Q8" i="1"/>
  <c r="N8" i="1"/>
  <c r="K8" i="1"/>
  <c r="H8" i="1"/>
  <c r="E8" i="1"/>
  <c r="T7" i="1"/>
  <c r="T23" i="1" s="1"/>
  <c r="Q7" i="1"/>
  <c r="Q23" i="1" s="1"/>
  <c r="N7" i="1"/>
  <c r="N23" i="1" s="1"/>
  <c r="K7" i="1"/>
  <c r="K23" i="1" s="1"/>
  <c r="H7" i="1"/>
  <c r="H23" i="1" s="1"/>
  <c r="E7" i="1"/>
  <c r="E23" i="1" s="1"/>
  <c r="AZ46" i="1" l="1"/>
  <c r="BC46" i="1"/>
  <c r="BD46" i="1" s="1"/>
  <c r="BU46" i="1" s="1"/>
  <c r="BC45" i="1"/>
  <c r="BD45" i="1" s="1"/>
  <c r="BU45" i="1" s="1"/>
  <c r="AZ45" i="1"/>
  <c r="BC44" i="1"/>
  <c r="BD44" i="1" s="1"/>
  <c r="BU44" i="1" s="1"/>
  <c r="AZ44" i="1"/>
  <c r="AZ43" i="1"/>
  <c r="BC43" i="1"/>
  <c r="BD43" i="1" s="1"/>
  <c r="BU43" i="1" s="1"/>
  <c r="AZ42" i="1"/>
  <c r="BC42" i="1"/>
  <c r="BD42" i="1" s="1"/>
  <c r="BU42" i="1" s="1"/>
  <c r="BG41" i="1"/>
  <c r="BH41" i="1" s="1"/>
  <c r="BU41" i="1" s="1"/>
  <c r="AZ41" i="1"/>
  <c r="BC40" i="1"/>
  <c r="BD40" i="1" s="1"/>
  <c r="BU40" i="1" s="1"/>
  <c r="AZ40" i="1"/>
  <c r="BC39" i="1"/>
  <c r="BD39" i="1" s="1"/>
  <c r="BU39" i="1" s="1"/>
  <c r="AZ39" i="1"/>
  <c r="BC38" i="1"/>
  <c r="BD38" i="1" s="1"/>
  <c r="BU38" i="1" s="1"/>
  <c r="AZ38" i="1"/>
  <c r="BC37" i="1"/>
  <c r="BD37" i="1" s="1"/>
  <c r="BU37" i="1" s="1"/>
  <c r="AZ37" i="1"/>
  <c r="AZ36" i="1"/>
  <c r="BC36" i="1"/>
  <c r="BD36" i="1" s="1"/>
  <c r="BU36" i="1" s="1"/>
  <c r="BC35" i="1"/>
  <c r="BD35" i="1" s="1"/>
  <c r="BU35" i="1" s="1"/>
  <c r="AZ35" i="1"/>
  <c r="AZ34" i="1"/>
  <c r="BC34" i="1"/>
  <c r="BD34" i="1" s="1"/>
  <c r="BU34" i="1" s="1"/>
  <c r="BC33" i="1"/>
  <c r="BD33" i="1" s="1"/>
  <c r="BU33" i="1" s="1"/>
  <c r="AZ33" i="1"/>
  <c r="T58" i="1"/>
  <c r="BS58" i="1" s="1"/>
  <c r="BT58" i="1" s="1"/>
  <c r="BS32" i="1"/>
  <c r="BT32" i="1" s="1"/>
  <c r="Q58" i="1"/>
  <c r="BO58" i="1" s="1"/>
  <c r="BP58" i="1" s="1"/>
  <c r="BO32" i="1"/>
  <c r="BP32" i="1" s="1"/>
  <c r="N58" i="1"/>
  <c r="BK58" i="1" s="1"/>
  <c r="BL58" i="1" s="1"/>
  <c r="BK32" i="1"/>
  <c r="BL32" i="1" s="1"/>
  <c r="BG32" i="1"/>
  <c r="BH32" i="1" s="1"/>
  <c r="K58" i="1"/>
  <c r="BG58" i="1" s="1"/>
  <c r="BH58" i="1" s="1"/>
  <c r="AZ32" i="1"/>
  <c r="H58" i="1"/>
  <c r="BC32" i="1"/>
  <c r="BD32" i="1" s="1"/>
  <c r="BU32" i="1" s="1"/>
  <c r="AZ58" i="1" l="1"/>
  <c r="BC58" i="1"/>
  <c r="BD58" i="1" s="1"/>
  <c r="BU58" i="1" s="1"/>
</calcChain>
</file>

<file path=xl/sharedStrings.xml><?xml version="1.0" encoding="utf-8"?>
<sst xmlns="http://schemas.openxmlformats.org/spreadsheetml/2006/main" count="171" uniqueCount="72">
  <si>
    <t>DIVISION OF CITY SCHOOLS MAKATI</t>
  </si>
  <si>
    <t>EARLY CHILDHOOD DEVELOPMENT CHECKLIST CONSOLIDATED REPORT</t>
  </si>
  <si>
    <t>Beginning of the School Year (BOSY) ECD Assessment 2023-2024</t>
  </si>
  <si>
    <t xml:space="preserve">No. </t>
  </si>
  <si>
    <t>NAME OF SCHOOL</t>
  </si>
  <si>
    <t>ENROLMENT</t>
  </si>
  <si>
    <t>SIGNIFICANT DELAY (D)</t>
  </si>
  <si>
    <t>SLIGHT DELAY (SD)</t>
  </si>
  <si>
    <t>AVERAGE (A)</t>
  </si>
  <si>
    <t xml:space="preserve"> SLIGHTLY ADVANCE DEVELOPMENT (SA)</t>
  </si>
  <si>
    <t>HIGHLY ADVANCE DEVELOPMENT (HA)</t>
  </si>
  <si>
    <t xml:space="preserve">Male </t>
  </si>
  <si>
    <t>Female</t>
  </si>
  <si>
    <t>Total</t>
  </si>
  <si>
    <t>Makati Elementary School</t>
  </si>
  <si>
    <t>Guadalupe Viejo Elementary School</t>
  </si>
  <si>
    <t>Bangkal Elementary School -Main</t>
  </si>
  <si>
    <t>Hen. Pio del Pilar Elementary School - Main</t>
  </si>
  <si>
    <t>Hen. Pio del Pilar Elementary School I</t>
  </si>
  <si>
    <t>Bangkal Elementary School -I</t>
  </si>
  <si>
    <t>La Paz Elementary School</t>
  </si>
  <si>
    <t>San Antonio Village Elementary School</t>
  </si>
  <si>
    <t>Maximo Estrella Elementary School</t>
  </si>
  <si>
    <t>Jose Magsaysay Elementary School</t>
  </si>
  <si>
    <t>Nicanor Garcia Elementary School</t>
  </si>
  <si>
    <t>F. Benitez Elementary School - Main</t>
  </si>
  <si>
    <t>F. Benitez Elementary School - III</t>
  </si>
  <si>
    <t>Palanan Elementary School</t>
  </si>
  <si>
    <t>San Jose Elementary School</t>
  </si>
  <si>
    <t>Nemesio I. Yabut Elementary School</t>
  </si>
  <si>
    <t>SCHOOLS DIVISION OFFICE OF LAGUNA</t>
  </si>
  <si>
    <t>Beginning of the School Year (BOSY) ECD Assessment 2026-2027</t>
  </si>
  <si>
    <t>SUB-OFFICE</t>
  </si>
  <si>
    <t xml:space="preserve"> Age 4.1 - 5.0</t>
  </si>
  <si>
    <t xml:space="preserve"> Age 5.1. - 5.11</t>
  </si>
  <si>
    <t xml:space="preserve"> Age 6.0-6.11</t>
  </si>
  <si>
    <t>TOTAL MUST TALLY WITH THE NUMBER OF ENROLLMENT</t>
  </si>
  <si>
    <t>Interpretation</t>
  </si>
  <si>
    <t>% of the total enrolment fell under  SIGNIFICANT DELAY (D)</t>
  </si>
  <si>
    <t>% of the total enrolment fell under  SLIGHT DELAY (SD)</t>
  </si>
  <si>
    <t>% of the total enrolment fell under  AVERAGE (A)</t>
  </si>
  <si>
    <t xml:space="preserve"> % of the total enrolment fell under   SLIGHTLY ADVANCE DEVELOPMENT (SA)</t>
  </si>
  <si>
    <t>% of the total enrolment fell under  HIGHLY ADVANCE DEVELOPMENT (HA)</t>
  </si>
  <si>
    <t>% of the total enrolment has undergone the ECCD Testing</t>
  </si>
  <si>
    <t>M</t>
  </si>
  <si>
    <t xml:space="preserve">F </t>
  </si>
  <si>
    <t xml:space="preserve">T </t>
  </si>
  <si>
    <t>%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</si>
  <si>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</si>
  <si>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</si>
  <si>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</si>
  <si>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</si>
  <si>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</si>
  <si>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</si>
  <si>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</si>
  <si>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</si>
  <si>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</si>
  <si>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</si>
  <si>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</si>
  <si>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</si>
  <si>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</si>
  <si>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</si>
  <si>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</si>
  <si>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</si>
  <si>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</si>
  <si>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</si>
  <si>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</si>
  <si>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Rizal</t>
  </si>
  <si>
    <t>Santa Cruz</t>
  </si>
  <si>
    <t>Santa Maria</t>
  </si>
  <si>
    <t>Siniloan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</si>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</sst>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b/>
      <sz val="20"/>
      <color rgb="FFFF0000"/>
      <name val="Arial Black"/>
      <family val="2"/>
    </font>
    <font>
      <b/>
      <sz val="24"/>
      <color rgb="FF00B05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sz val="18"/>
      <color rgb="FF000000"/>
      <name val="Calibri"/>
      <family val="2"/>
    </font>
    <font>
      <sz val="22"/>
      <color theme="1"/>
      <name val="Aptos Narrow"/>
      <family val="2"/>
      <scheme val="minor"/>
    </font>
    <font>
      <sz val="9"/>
      <name val="Calibri"/>
      <family val="2"/>
    </font>
    <font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rial Narrow"/>
      <family val="2"/>
    </font>
    <font>
      <b/>
      <sz val="14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D9D9D9"/>
        <bgColor rgb="FFD9D9D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0" borderId="0" xfId="0" applyFont="1"/>
    <xf numFmtId="0" fontId="7" fillId="0" borderId="5" xfId="0" applyFont="1" applyBorder="1"/>
    <xf numFmtId="0" fontId="6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8" fillId="0" borderId="6" xfId="0" applyFont="1" applyBorder="1"/>
    <xf numFmtId="0" fontId="9" fillId="0" borderId="7" xfId="0" applyFont="1" applyBorder="1" applyAlignment="1">
      <alignment wrapText="1"/>
    </xf>
    <xf numFmtId="0" fontId="8" fillId="2" borderId="6" xfId="0" applyFont="1" applyFill="1" applyBorder="1"/>
    <xf numFmtId="0" fontId="8" fillId="3" borderId="6" xfId="0" applyFont="1" applyFill="1" applyBorder="1"/>
    <xf numFmtId="0" fontId="8" fillId="4" borderId="6" xfId="0" applyFont="1" applyFill="1" applyBorder="1"/>
    <xf numFmtId="0" fontId="8" fillId="5" borderId="6" xfId="0" applyFont="1" applyFill="1" applyBorder="1"/>
    <xf numFmtId="0" fontId="8" fillId="6" borderId="6" xfId="0" applyFont="1" applyFill="1" applyBorder="1"/>
    <xf numFmtId="0" fontId="8" fillId="0" borderId="2" xfId="0" applyFont="1" applyBorder="1"/>
    <xf numFmtId="1" fontId="8" fillId="0" borderId="6" xfId="0" applyNumberFormat="1" applyFont="1" applyBorder="1"/>
    <xf numFmtId="0" fontId="8" fillId="7" borderId="6" xfId="0" applyFont="1" applyFill="1" applyBorder="1"/>
    <xf numFmtId="0" fontId="9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10" fillId="8" borderId="6" xfId="0" applyFont="1" applyFill="1" applyBorder="1"/>
    <xf numFmtId="1" fontId="10" fillId="8" borderId="6" xfId="0" applyNumberFormat="1" applyFont="1" applyFill="1" applyBorder="1"/>
    <xf numFmtId="0" fontId="15" fillId="0" borderId="10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14" borderId="6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15" borderId="6" xfId="0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/>
    </xf>
    <xf numFmtId="0" fontId="16" fillId="17" borderId="6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14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18" borderId="14" xfId="0" applyFont="1" applyFill="1" applyBorder="1" applyAlignment="1">
      <alignment horizontal="center"/>
    </xf>
    <xf numFmtId="0" fontId="0" fillId="0" borderId="14" xfId="0" applyBorder="1"/>
    <xf numFmtId="0" fontId="8" fillId="0" borderId="14" xfId="0" applyFont="1" applyBorder="1"/>
    <xf numFmtId="0" fontId="18" fillId="0" borderId="14" xfId="0" applyFont="1" applyBorder="1" applyAlignment="1">
      <alignment vertical="center"/>
    </xf>
    <xf numFmtId="0" fontId="8" fillId="0" borderId="4" xfId="0" applyFont="1" applyBorder="1"/>
    <xf numFmtId="0" fontId="0" fillId="0" borderId="6" xfId="0" applyBorder="1"/>
    <xf numFmtId="0" fontId="8" fillId="19" borderId="14" xfId="0" applyFont="1" applyFill="1" applyBorder="1"/>
    <xf numFmtId="0" fontId="19" fillId="0" borderId="14" xfId="0" applyFont="1" applyBorder="1" applyAlignment="1">
      <alignment wrapText="1"/>
    </xf>
    <xf numFmtId="0" fontId="10" fillId="8" borderId="5" xfId="0" applyFont="1" applyFill="1" applyBorder="1" applyAlignment="1">
      <alignment horizontal="center"/>
    </xf>
    <xf numFmtId="0" fontId="20" fillId="20" borderId="6" xfId="0" applyFont="1" applyFill="1" applyBorder="1"/>
    <xf numFmtId="0" fontId="11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/>
    </xf>
    <xf numFmtId="0" fontId="11" fillId="3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10" fillId="8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729A-FDB4-457F-A10C-03D79B0FC5B1}">
  <dimension ref="A1:BU994"/>
  <sheetViews>
    <sheetView tabSelected="1" topLeftCell="K31" zoomScale="85" zoomScaleNormal="85" workbookViewId="0">
      <selection sqref="A1:XFD1048576"/>
    </sheetView>
  </sheetViews>
  <sheetFormatPr defaultColWidth="14.42578125" defaultRowHeight="15" x14ac:dyDescent="0.25"/>
  <cols>
    <col min="1" max="1" width="5.140625" customWidth="1"/>
    <col min="2" max="2" width="38.42578125" customWidth="1"/>
    <col min="3" max="3" width="7" customWidth="1"/>
    <col min="4" max="4" width="8.85546875" customWidth="1"/>
    <col min="5" max="5" width="8" customWidth="1"/>
    <col min="6" max="50" width="5.5703125" customWidth="1"/>
    <col min="51" max="51" width="2.85546875" customWidth="1"/>
    <col min="52" max="52" width="0" hidden="1" customWidth="1"/>
    <col min="53" max="72" width="6.5703125" customWidth="1"/>
    <col min="73" max="73" width="16.5703125" customWidth="1"/>
  </cols>
  <sheetData>
    <row r="1" spans="1:20" ht="33" hidden="1" customHeight="1" x14ac:dyDescent="0.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 ht="29.1" hidden="1" customHeight="1" x14ac:dyDescent="0.6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1:20" ht="24.75" hidden="1" customHeight="1" x14ac:dyDescent="0.5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</row>
    <row r="4" spans="1:20" hidden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idden="1" x14ac:dyDescent="0.25">
      <c r="A5" s="82" t="s">
        <v>3</v>
      </c>
      <c r="B5" s="82" t="s">
        <v>4</v>
      </c>
      <c r="C5" s="84" t="s">
        <v>5</v>
      </c>
      <c r="D5" s="76"/>
      <c r="E5" s="77"/>
      <c r="F5" s="85" t="s">
        <v>6</v>
      </c>
      <c r="G5" s="76"/>
      <c r="H5" s="77"/>
      <c r="I5" s="86" t="s">
        <v>7</v>
      </c>
      <c r="J5" s="76"/>
      <c r="K5" s="77"/>
      <c r="L5" s="87" t="s">
        <v>8</v>
      </c>
      <c r="M5" s="76"/>
      <c r="N5" s="77"/>
      <c r="O5" s="88" t="s">
        <v>9</v>
      </c>
      <c r="P5" s="76"/>
      <c r="Q5" s="76"/>
      <c r="R5" s="75" t="s">
        <v>10</v>
      </c>
      <c r="S5" s="76"/>
      <c r="T5" s="77"/>
    </row>
    <row r="6" spans="1:20" hidden="1" x14ac:dyDescent="0.25">
      <c r="A6" s="83"/>
      <c r="B6" s="83"/>
      <c r="C6" s="3" t="s">
        <v>11</v>
      </c>
      <c r="D6" s="3" t="s">
        <v>12</v>
      </c>
      <c r="E6" s="4" t="s">
        <v>13</v>
      </c>
      <c r="F6" s="3" t="s">
        <v>11</v>
      </c>
      <c r="G6" s="3" t="s">
        <v>12</v>
      </c>
      <c r="H6" s="5" t="s">
        <v>13</v>
      </c>
      <c r="I6" s="3" t="s">
        <v>11</v>
      </c>
      <c r="J6" s="3" t="s">
        <v>12</v>
      </c>
      <c r="K6" s="6" t="s">
        <v>13</v>
      </c>
      <c r="L6" s="3" t="s">
        <v>11</v>
      </c>
      <c r="M6" s="3" t="s">
        <v>12</v>
      </c>
      <c r="N6" s="7" t="s">
        <v>13</v>
      </c>
      <c r="O6" s="3" t="s">
        <v>11</v>
      </c>
      <c r="P6" s="3" t="s">
        <v>12</v>
      </c>
      <c r="Q6" s="8" t="s">
        <v>13</v>
      </c>
      <c r="R6" s="9" t="s">
        <v>11</v>
      </c>
      <c r="S6" s="9" t="s">
        <v>12</v>
      </c>
      <c r="T6" s="10" t="s">
        <v>13</v>
      </c>
    </row>
    <row r="7" spans="1:20" ht="15.75" hidden="1" thickBot="1" x14ac:dyDescent="0.3">
      <c r="A7" s="11">
        <v>1</v>
      </c>
      <c r="B7" s="12" t="s">
        <v>14</v>
      </c>
      <c r="C7" s="11">
        <v>64</v>
      </c>
      <c r="D7" s="11">
        <v>65</v>
      </c>
      <c r="E7" s="13">
        <f t="shared" ref="E7:E20" si="0">SUM(C7:D7)</f>
        <v>129</v>
      </c>
      <c r="F7" s="11">
        <v>12</v>
      </c>
      <c r="G7" s="11">
        <v>11</v>
      </c>
      <c r="H7" s="14">
        <f t="shared" ref="H7:H22" si="1">SUM(F7:G7)</f>
        <v>23</v>
      </c>
      <c r="I7" s="11">
        <v>9</v>
      </c>
      <c r="J7" s="11">
        <v>7</v>
      </c>
      <c r="K7" s="15">
        <f t="shared" ref="K7:K20" si="2">SUM(I7:J7)</f>
        <v>16</v>
      </c>
      <c r="L7" s="11">
        <v>43</v>
      </c>
      <c r="M7" s="11">
        <v>48</v>
      </c>
      <c r="N7" s="16">
        <f t="shared" ref="N7:N22" si="3">SUM(L7:M7)</f>
        <v>91</v>
      </c>
      <c r="O7" s="11">
        <v>0</v>
      </c>
      <c r="P7" s="11">
        <v>0</v>
      </c>
      <c r="Q7" s="17">
        <f t="shared" ref="Q7:Q22" si="4">SUM(O7:P7)</f>
        <v>0</v>
      </c>
      <c r="R7" s="18">
        <v>0</v>
      </c>
      <c r="S7" s="19">
        <v>0</v>
      </c>
      <c r="T7" s="20">
        <f t="shared" ref="T7:T22" si="5">SUM(R7:S7)</f>
        <v>0</v>
      </c>
    </row>
    <row r="8" spans="1:20" ht="15.75" hidden="1" thickBot="1" x14ac:dyDescent="0.3">
      <c r="A8" s="11">
        <v>2</v>
      </c>
      <c r="B8" s="21" t="s">
        <v>15</v>
      </c>
      <c r="C8" s="11">
        <v>44</v>
      </c>
      <c r="D8" s="11">
        <v>49</v>
      </c>
      <c r="E8" s="13">
        <f t="shared" si="0"/>
        <v>93</v>
      </c>
      <c r="F8" s="11">
        <v>3</v>
      </c>
      <c r="G8" s="11">
        <v>1</v>
      </c>
      <c r="H8" s="14">
        <f t="shared" si="1"/>
        <v>4</v>
      </c>
      <c r="I8" s="11">
        <v>7</v>
      </c>
      <c r="J8" s="11">
        <v>4</v>
      </c>
      <c r="K8" s="15">
        <f t="shared" si="2"/>
        <v>11</v>
      </c>
      <c r="L8" s="11">
        <v>34</v>
      </c>
      <c r="M8" s="11">
        <v>44</v>
      </c>
      <c r="N8" s="16">
        <f t="shared" si="3"/>
        <v>78</v>
      </c>
      <c r="O8" s="11">
        <v>0</v>
      </c>
      <c r="P8" s="11">
        <v>0</v>
      </c>
      <c r="Q8" s="17">
        <f t="shared" si="4"/>
        <v>0</v>
      </c>
      <c r="R8" s="18">
        <v>0</v>
      </c>
      <c r="S8" s="11">
        <v>0</v>
      </c>
      <c r="T8" s="20">
        <f t="shared" si="5"/>
        <v>0</v>
      </c>
    </row>
    <row r="9" spans="1:20" ht="15.75" hidden="1" thickBot="1" x14ac:dyDescent="0.3">
      <c r="A9" s="11">
        <v>3</v>
      </c>
      <c r="B9" s="12" t="s">
        <v>16</v>
      </c>
      <c r="C9" s="11">
        <v>81</v>
      </c>
      <c r="D9" s="11">
        <v>62</v>
      </c>
      <c r="E9" s="13">
        <f t="shared" si="0"/>
        <v>143</v>
      </c>
      <c r="F9" s="11">
        <v>7</v>
      </c>
      <c r="G9" s="11">
        <v>2</v>
      </c>
      <c r="H9" s="14">
        <f t="shared" si="1"/>
        <v>9</v>
      </c>
      <c r="I9" s="11">
        <v>6</v>
      </c>
      <c r="J9" s="11">
        <v>2</v>
      </c>
      <c r="K9" s="15">
        <f t="shared" si="2"/>
        <v>8</v>
      </c>
      <c r="L9" s="11">
        <v>68</v>
      </c>
      <c r="M9" s="11">
        <v>58</v>
      </c>
      <c r="N9" s="16">
        <f t="shared" si="3"/>
        <v>126</v>
      </c>
      <c r="O9" s="11">
        <v>0</v>
      </c>
      <c r="P9" s="11">
        <v>0</v>
      </c>
      <c r="Q9" s="17">
        <f t="shared" si="4"/>
        <v>0</v>
      </c>
      <c r="R9" s="18">
        <v>0</v>
      </c>
      <c r="S9" s="11">
        <v>0</v>
      </c>
      <c r="T9" s="20">
        <f t="shared" si="5"/>
        <v>0</v>
      </c>
    </row>
    <row r="10" spans="1:20" ht="15.75" hidden="1" thickBot="1" x14ac:dyDescent="0.3">
      <c r="A10" s="11">
        <v>4</v>
      </c>
      <c r="B10" s="21" t="s">
        <v>17</v>
      </c>
      <c r="C10" s="11">
        <v>87</v>
      </c>
      <c r="D10" s="11">
        <v>98</v>
      </c>
      <c r="E10" s="13">
        <f t="shared" si="0"/>
        <v>185</v>
      </c>
      <c r="F10" s="11">
        <v>1</v>
      </c>
      <c r="G10" s="11">
        <v>1</v>
      </c>
      <c r="H10" s="14">
        <f t="shared" si="1"/>
        <v>2</v>
      </c>
      <c r="I10" s="11">
        <v>9</v>
      </c>
      <c r="J10" s="11">
        <v>5</v>
      </c>
      <c r="K10" s="15">
        <f t="shared" si="2"/>
        <v>14</v>
      </c>
      <c r="L10" s="11">
        <v>78</v>
      </c>
      <c r="M10" s="11">
        <v>92</v>
      </c>
      <c r="N10" s="16">
        <f t="shared" si="3"/>
        <v>170</v>
      </c>
      <c r="O10" s="11">
        <v>0</v>
      </c>
      <c r="P10" s="11">
        <v>0</v>
      </c>
      <c r="Q10" s="17">
        <f t="shared" si="4"/>
        <v>0</v>
      </c>
      <c r="R10" s="18">
        <v>0</v>
      </c>
      <c r="S10" s="11">
        <v>0</v>
      </c>
      <c r="T10" s="20">
        <f t="shared" si="5"/>
        <v>0</v>
      </c>
    </row>
    <row r="11" spans="1:20" ht="15.75" hidden="1" thickBot="1" x14ac:dyDescent="0.3">
      <c r="A11" s="11">
        <v>5</v>
      </c>
      <c r="B11" s="21" t="s">
        <v>18</v>
      </c>
      <c r="C11" s="11">
        <v>45</v>
      </c>
      <c r="D11" s="11">
        <v>44</v>
      </c>
      <c r="E11" s="13">
        <f t="shared" si="0"/>
        <v>89</v>
      </c>
      <c r="F11" s="11">
        <v>3</v>
      </c>
      <c r="G11" s="11">
        <v>2</v>
      </c>
      <c r="H11" s="14">
        <f t="shared" si="1"/>
        <v>5</v>
      </c>
      <c r="I11" s="11">
        <v>9</v>
      </c>
      <c r="J11" s="11">
        <v>3</v>
      </c>
      <c r="K11" s="15">
        <f t="shared" si="2"/>
        <v>12</v>
      </c>
      <c r="L11" s="11">
        <v>34</v>
      </c>
      <c r="M11" s="11">
        <v>38</v>
      </c>
      <c r="N11" s="16">
        <f t="shared" si="3"/>
        <v>72</v>
      </c>
      <c r="O11" s="11">
        <v>0</v>
      </c>
      <c r="P11" s="11">
        <v>0</v>
      </c>
      <c r="Q11" s="17">
        <f t="shared" si="4"/>
        <v>0</v>
      </c>
      <c r="R11" s="18">
        <v>0</v>
      </c>
      <c r="S11" s="11">
        <v>0</v>
      </c>
      <c r="T11" s="20">
        <f t="shared" si="5"/>
        <v>0</v>
      </c>
    </row>
    <row r="12" spans="1:20" ht="15.75" hidden="1" thickBot="1" x14ac:dyDescent="0.3">
      <c r="A12" s="11">
        <v>6</v>
      </c>
      <c r="B12" s="22" t="s">
        <v>19</v>
      </c>
      <c r="C12" s="11">
        <v>53</v>
      </c>
      <c r="D12" s="11">
        <v>47</v>
      </c>
      <c r="E12" s="13">
        <f t="shared" si="0"/>
        <v>100</v>
      </c>
      <c r="F12" s="11">
        <v>2</v>
      </c>
      <c r="G12" s="11">
        <v>1</v>
      </c>
      <c r="H12" s="14">
        <f t="shared" si="1"/>
        <v>3</v>
      </c>
      <c r="I12" s="11">
        <v>6</v>
      </c>
      <c r="J12" s="11">
        <v>0</v>
      </c>
      <c r="K12" s="15">
        <f t="shared" si="2"/>
        <v>6</v>
      </c>
      <c r="L12" s="11">
        <v>45</v>
      </c>
      <c r="M12" s="11">
        <v>46</v>
      </c>
      <c r="N12" s="16">
        <f t="shared" si="3"/>
        <v>91</v>
      </c>
      <c r="O12" s="11">
        <v>0</v>
      </c>
      <c r="P12" s="11">
        <v>0</v>
      </c>
      <c r="Q12" s="17">
        <f t="shared" si="4"/>
        <v>0</v>
      </c>
      <c r="R12" s="18">
        <v>0</v>
      </c>
      <c r="S12" s="11">
        <v>0</v>
      </c>
      <c r="T12" s="20">
        <f t="shared" si="5"/>
        <v>0</v>
      </c>
    </row>
    <row r="13" spans="1:20" ht="15.75" hidden="1" thickBot="1" x14ac:dyDescent="0.3">
      <c r="A13" s="11">
        <v>7</v>
      </c>
      <c r="B13" s="12" t="s">
        <v>20</v>
      </c>
      <c r="C13" s="11">
        <v>161</v>
      </c>
      <c r="D13" s="11">
        <v>166</v>
      </c>
      <c r="E13" s="13">
        <f t="shared" si="0"/>
        <v>327</v>
      </c>
      <c r="F13" s="11">
        <v>29</v>
      </c>
      <c r="G13" s="11">
        <v>22</v>
      </c>
      <c r="H13" s="14">
        <f t="shared" si="1"/>
        <v>51</v>
      </c>
      <c r="I13" s="11">
        <v>51</v>
      </c>
      <c r="J13" s="11">
        <v>36</v>
      </c>
      <c r="K13" s="15">
        <f t="shared" si="2"/>
        <v>87</v>
      </c>
      <c r="L13" s="11">
        <v>81</v>
      </c>
      <c r="M13" s="11">
        <v>108</v>
      </c>
      <c r="N13" s="16">
        <f t="shared" si="3"/>
        <v>189</v>
      </c>
      <c r="O13" s="11">
        <v>0</v>
      </c>
      <c r="P13" s="11">
        <v>0</v>
      </c>
      <c r="Q13" s="17">
        <f t="shared" si="4"/>
        <v>0</v>
      </c>
      <c r="R13" s="18">
        <v>0</v>
      </c>
      <c r="S13" s="11">
        <v>0</v>
      </c>
      <c r="T13" s="20">
        <f t="shared" si="5"/>
        <v>0</v>
      </c>
    </row>
    <row r="14" spans="1:20" ht="15.75" hidden="1" thickBot="1" x14ac:dyDescent="0.3">
      <c r="A14" s="11">
        <v>8</v>
      </c>
      <c r="B14" s="21" t="s">
        <v>21</v>
      </c>
      <c r="C14" s="11">
        <v>46</v>
      </c>
      <c r="D14" s="11">
        <v>33</v>
      </c>
      <c r="E14" s="13">
        <f t="shared" si="0"/>
        <v>79</v>
      </c>
      <c r="F14" s="11">
        <v>4</v>
      </c>
      <c r="G14" s="11">
        <v>2</v>
      </c>
      <c r="H14" s="14">
        <f t="shared" si="1"/>
        <v>6</v>
      </c>
      <c r="I14" s="11">
        <v>4</v>
      </c>
      <c r="J14" s="11">
        <v>1</v>
      </c>
      <c r="K14" s="15">
        <f t="shared" si="2"/>
        <v>5</v>
      </c>
      <c r="L14" s="11">
        <v>38</v>
      </c>
      <c r="M14" s="11">
        <v>30</v>
      </c>
      <c r="N14" s="16">
        <f t="shared" si="3"/>
        <v>68</v>
      </c>
      <c r="O14" s="11">
        <v>0</v>
      </c>
      <c r="P14" s="11">
        <v>0</v>
      </c>
      <c r="Q14" s="17">
        <f t="shared" si="4"/>
        <v>0</v>
      </c>
      <c r="R14" s="18">
        <v>0</v>
      </c>
      <c r="S14" s="11">
        <v>0</v>
      </c>
      <c r="T14" s="20">
        <f t="shared" si="5"/>
        <v>0</v>
      </c>
    </row>
    <row r="15" spans="1:20" ht="15.75" hidden="1" thickBot="1" x14ac:dyDescent="0.3">
      <c r="A15" s="11">
        <v>9</v>
      </c>
      <c r="B15" s="12" t="s">
        <v>22</v>
      </c>
      <c r="C15" s="11">
        <v>93</v>
      </c>
      <c r="D15" s="11">
        <v>107</v>
      </c>
      <c r="E15" s="13">
        <f t="shared" si="0"/>
        <v>200</v>
      </c>
      <c r="F15" s="11">
        <v>0</v>
      </c>
      <c r="G15" s="11">
        <v>0</v>
      </c>
      <c r="H15" s="14">
        <f t="shared" si="1"/>
        <v>0</v>
      </c>
      <c r="I15" s="11">
        <v>1</v>
      </c>
      <c r="J15" s="11">
        <v>0</v>
      </c>
      <c r="K15" s="15">
        <f t="shared" si="2"/>
        <v>1</v>
      </c>
      <c r="L15" s="11">
        <v>92</v>
      </c>
      <c r="M15" s="11">
        <v>107</v>
      </c>
      <c r="N15" s="16">
        <f t="shared" si="3"/>
        <v>199</v>
      </c>
      <c r="O15" s="11">
        <v>0</v>
      </c>
      <c r="P15" s="11">
        <v>0</v>
      </c>
      <c r="Q15" s="17">
        <f t="shared" si="4"/>
        <v>0</v>
      </c>
      <c r="R15" s="18">
        <v>0</v>
      </c>
      <c r="S15" s="11">
        <v>0</v>
      </c>
      <c r="T15" s="20">
        <f t="shared" si="5"/>
        <v>0</v>
      </c>
    </row>
    <row r="16" spans="1:20" ht="15.75" hidden="1" thickBot="1" x14ac:dyDescent="0.3">
      <c r="A16" s="11">
        <v>10</v>
      </c>
      <c r="B16" s="21" t="s">
        <v>23</v>
      </c>
      <c r="C16" s="11">
        <v>60</v>
      </c>
      <c r="D16" s="11">
        <v>49</v>
      </c>
      <c r="E16" s="13">
        <f t="shared" si="0"/>
        <v>109</v>
      </c>
      <c r="F16" s="11">
        <v>0</v>
      </c>
      <c r="G16" s="11">
        <v>0</v>
      </c>
      <c r="H16" s="14">
        <f t="shared" si="1"/>
        <v>0</v>
      </c>
      <c r="I16" s="11">
        <v>13</v>
      </c>
      <c r="J16" s="11">
        <v>6</v>
      </c>
      <c r="K16" s="15">
        <f t="shared" si="2"/>
        <v>19</v>
      </c>
      <c r="L16" s="11">
        <v>48</v>
      </c>
      <c r="M16" s="11">
        <v>42</v>
      </c>
      <c r="N16" s="16">
        <f t="shared" si="3"/>
        <v>90</v>
      </c>
      <c r="O16" s="11">
        <v>0</v>
      </c>
      <c r="P16" s="11">
        <v>0</v>
      </c>
      <c r="Q16" s="17">
        <f t="shared" si="4"/>
        <v>0</v>
      </c>
      <c r="R16" s="18">
        <v>0</v>
      </c>
      <c r="S16" s="11">
        <v>0</v>
      </c>
      <c r="T16" s="20">
        <f t="shared" si="5"/>
        <v>0</v>
      </c>
    </row>
    <row r="17" spans="1:73" ht="15.75" hidden="1" thickBot="1" x14ac:dyDescent="0.3">
      <c r="A17" s="11">
        <v>11</v>
      </c>
      <c r="B17" s="21" t="s">
        <v>24</v>
      </c>
      <c r="C17" s="11">
        <v>82</v>
      </c>
      <c r="D17" s="11">
        <v>73</v>
      </c>
      <c r="E17" s="13">
        <f t="shared" si="0"/>
        <v>155</v>
      </c>
      <c r="F17" s="11">
        <v>3</v>
      </c>
      <c r="G17" s="11">
        <v>3</v>
      </c>
      <c r="H17" s="14">
        <f t="shared" si="1"/>
        <v>6</v>
      </c>
      <c r="I17" s="11">
        <v>11</v>
      </c>
      <c r="J17" s="11">
        <v>2</v>
      </c>
      <c r="K17" s="15">
        <f t="shared" si="2"/>
        <v>13</v>
      </c>
      <c r="L17" s="11">
        <v>68</v>
      </c>
      <c r="M17" s="11">
        <v>68</v>
      </c>
      <c r="N17" s="16">
        <f t="shared" si="3"/>
        <v>136</v>
      </c>
      <c r="O17" s="11">
        <v>0</v>
      </c>
      <c r="P17" s="11">
        <v>0</v>
      </c>
      <c r="Q17" s="17">
        <f t="shared" si="4"/>
        <v>0</v>
      </c>
      <c r="R17" s="18">
        <v>0</v>
      </c>
      <c r="S17" s="11">
        <v>0</v>
      </c>
      <c r="T17" s="20">
        <f t="shared" si="5"/>
        <v>0</v>
      </c>
    </row>
    <row r="18" spans="1:73" ht="15.75" hidden="1" thickBot="1" x14ac:dyDescent="0.3">
      <c r="A18" s="11">
        <v>12</v>
      </c>
      <c r="B18" s="21" t="s">
        <v>25</v>
      </c>
      <c r="C18" s="11">
        <v>84</v>
      </c>
      <c r="D18" s="11">
        <v>75</v>
      </c>
      <c r="E18" s="13">
        <f t="shared" si="0"/>
        <v>159</v>
      </c>
      <c r="F18" s="11">
        <v>3</v>
      </c>
      <c r="G18" s="11">
        <v>1</v>
      </c>
      <c r="H18" s="14">
        <f t="shared" si="1"/>
        <v>4</v>
      </c>
      <c r="I18" s="11">
        <v>14</v>
      </c>
      <c r="J18" s="11">
        <v>14</v>
      </c>
      <c r="K18" s="15">
        <f t="shared" si="2"/>
        <v>28</v>
      </c>
      <c r="L18" s="11">
        <v>67</v>
      </c>
      <c r="M18" s="11">
        <v>60</v>
      </c>
      <c r="N18" s="16">
        <f t="shared" si="3"/>
        <v>127</v>
      </c>
      <c r="O18" s="11">
        <v>0</v>
      </c>
      <c r="P18" s="11">
        <v>0</v>
      </c>
      <c r="Q18" s="17">
        <f t="shared" si="4"/>
        <v>0</v>
      </c>
      <c r="R18" s="18">
        <v>0</v>
      </c>
      <c r="S18" s="11">
        <v>0</v>
      </c>
      <c r="T18" s="20">
        <f t="shared" si="5"/>
        <v>0</v>
      </c>
    </row>
    <row r="19" spans="1:73" ht="15.75" hidden="1" thickBot="1" x14ac:dyDescent="0.3">
      <c r="A19" s="11">
        <v>13</v>
      </c>
      <c r="B19" s="12" t="s">
        <v>26</v>
      </c>
      <c r="C19" s="11">
        <v>107</v>
      </c>
      <c r="D19" s="11">
        <v>116</v>
      </c>
      <c r="E19" s="13">
        <f t="shared" si="0"/>
        <v>223</v>
      </c>
      <c r="F19" s="11">
        <v>24</v>
      </c>
      <c r="G19" s="11">
        <v>19</v>
      </c>
      <c r="H19" s="14">
        <f t="shared" si="1"/>
        <v>43</v>
      </c>
      <c r="I19" s="11">
        <v>26</v>
      </c>
      <c r="J19" s="11">
        <v>32</v>
      </c>
      <c r="K19" s="15">
        <f t="shared" si="2"/>
        <v>58</v>
      </c>
      <c r="L19" s="11">
        <v>57</v>
      </c>
      <c r="M19" s="11">
        <v>65</v>
      </c>
      <c r="N19" s="16">
        <f t="shared" si="3"/>
        <v>122</v>
      </c>
      <c r="O19" s="11">
        <v>0</v>
      </c>
      <c r="P19" s="11">
        <v>0</v>
      </c>
      <c r="Q19" s="17">
        <f t="shared" si="4"/>
        <v>0</v>
      </c>
      <c r="R19" s="18">
        <v>0</v>
      </c>
      <c r="S19" s="11">
        <v>0</v>
      </c>
      <c r="T19" s="20">
        <f t="shared" si="5"/>
        <v>0</v>
      </c>
    </row>
    <row r="20" spans="1:73" ht="15.75" hidden="1" thickBot="1" x14ac:dyDescent="0.3">
      <c r="A20" s="11">
        <v>14</v>
      </c>
      <c r="B20" s="21" t="s">
        <v>27</v>
      </c>
      <c r="C20" s="11">
        <v>84</v>
      </c>
      <c r="D20" s="11">
        <v>89</v>
      </c>
      <c r="E20" s="13">
        <f t="shared" si="0"/>
        <v>173</v>
      </c>
      <c r="F20" s="11">
        <v>2</v>
      </c>
      <c r="G20" s="11">
        <v>1</v>
      </c>
      <c r="H20" s="14">
        <f t="shared" si="1"/>
        <v>3</v>
      </c>
      <c r="I20" s="11">
        <v>6</v>
      </c>
      <c r="J20" s="11">
        <v>2</v>
      </c>
      <c r="K20" s="15">
        <f t="shared" si="2"/>
        <v>8</v>
      </c>
      <c r="L20" s="11">
        <v>76</v>
      </c>
      <c r="M20" s="11">
        <v>86</v>
      </c>
      <c r="N20" s="16">
        <f t="shared" si="3"/>
        <v>162</v>
      </c>
      <c r="O20" s="11">
        <v>0</v>
      </c>
      <c r="P20" s="11">
        <v>0</v>
      </c>
      <c r="Q20" s="17">
        <f t="shared" si="4"/>
        <v>0</v>
      </c>
      <c r="R20" s="18">
        <v>0</v>
      </c>
      <c r="S20" s="11">
        <v>0</v>
      </c>
      <c r="T20" s="20">
        <f t="shared" si="5"/>
        <v>0</v>
      </c>
    </row>
    <row r="21" spans="1:73" ht="15.75" hidden="1" customHeight="1" x14ac:dyDescent="0.25">
      <c r="A21" s="11">
        <v>15</v>
      </c>
      <c r="B21" s="12" t="s">
        <v>28</v>
      </c>
      <c r="C21" s="11">
        <v>99</v>
      </c>
      <c r="D21" s="11">
        <v>86</v>
      </c>
      <c r="E21" s="13">
        <v>185</v>
      </c>
      <c r="F21" s="11">
        <v>0</v>
      </c>
      <c r="G21" s="11">
        <v>0</v>
      </c>
      <c r="H21" s="14">
        <f t="shared" si="1"/>
        <v>0</v>
      </c>
      <c r="I21" s="11">
        <v>29</v>
      </c>
      <c r="J21" s="11">
        <v>23</v>
      </c>
      <c r="K21" s="15">
        <v>52</v>
      </c>
      <c r="L21" s="11">
        <v>70</v>
      </c>
      <c r="M21" s="11">
        <v>63</v>
      </c>
      <c r="N21" s="16">
        <f t="shared" si="3"/>
        <v>133</v>
      </c>
      <c r="O21" s="11">
        <v>0</v>
      </c>
      <c r="P21" s="11">
        <v>0</v>
      </c>
      <c r="Q21" s="17">
        <f t="shared" si="4"/>
        <v>0</v>
      </c>
      <c r="R21" s="18">
        <v>0</v>
      </c>
      <c r="S21" s="11">
        <v>0</v>
      </c>
      <c r="T21" s="20">
        <f t="shared" si="5"/>
        <v>0</v>
      </c>
    </row>
    <row r="22" spans="1:73" ht="15.75" hidden="1" customHeight="1" x14ac:dyDescent="0.25">
      <c r="A22" s="11">
        <v>16</v>
      </c>
      <c r="B22" s="21" t="s">
        <v>29</v>
      </c>
      <c r="C22" s="11">
        <v>80</v>
      </c>
      <c r="D22" s="11">
        <v>89</v>
      </c>
      <c r="E22" s="13">
        <f>SUM(C22:D22)</f>
        <v>169</v>
      </c>
      <c r="F22" s="11">
        <v>7</v>
      </c>
      <c r="G22" s="11">
        <v>2</v>
      </c>
      <c r="H22" s="14">
        <f t="shared" si="1"/>
        <v>9</v>
      </c>
      <c r="I22" s="11">
        <v>8</v>
      </c>
      <c r="J22" s="11">
        <v>9</v>
      </c>
      <c r="K22" s="15">
        <f>SUM(I22:J22)</f>
        <v>17</v>
      </c>
      <c r="L22" s="11">
        <v>65</v>
      </c>
      <c r="M22" s="11">
        <v>78</v>
      </c>
      <c r="N22" s="16">
        <f t="shared" si="3"/>
        <v>143</v>
      </c>
      <c r="O22" s="11">
        <v>0</v>
      </c>
      <c r="P22" s="11">
        <v>0</v>
      </c>
      <c r="Q22" s="17">
        <f t="shared" si="4"/>
        <v>0</v>
      </c>
      <c r="R22" s="18">
        <v>0</v>
      </c>
      <c r="S22" s="11">
        <v>0</v>
      </c>
      <c r="T22" s="20">
        <f t="shared" si="5"/>
        <v>0</v>
      </c>
    </row>
    <row r="23" spans="1:73" ht="15.75" hidden="1" customHeight="1" x14ac:dyDescent="0.3">
      <c r="A23" s="78" t="s">
        <v>13</v>
      </c>
      <c r="B23" s="77"/>
      <c r="C23" s="23">
        <f t="shared" ref="C23:T23" si="6">SUM(C7:C22)</f>
        <v>1270</v>
      </c>
      <c r="D23" s="23">
        <f t="shared" si="6"/>
        <v>1248</v>
      </c>
      <c r="E23" s="23">
        <f t="shared" si="6"/>
        <v>2518</v>
      </c>
      <c r="F23" s="23">
        <f t="shared" si="6"/>
        <v>100</v>
      </c>
      <c r="G23" s="23">
        <f t="shared" si="6"/>
        <v>68</v>
      </c>
      <c r="H23" s="23">
        <f t="shared" si="6"/>
        <v>168</v>
      </c>
      <c r="I23" s="23">
        <f t="shared" si="6"/>
        <v>209</v>
      </c>
      <c r="J23" s="23">
        <f t="shared" si="6"/>
        <v>146</v>
      </c>
      <c r="K23" s="23">
        <f t="shared" si="6"/>
        <v>355</v>
      </c>
      <c r="L23" s="23">
        <f t="shared" si="6"/>
        <v>964</v>
      </c>
      <c r="M23" s="23">
        <f t="shared" si="6"/>
        <v>1033</v>
      </c>
      <c r="N23" s="23">
        <f t="shared" si="6"/>
        <v>1997</v>
      </c>
      <c r="O23" s="23">
        <f t="shared" si="6"/>
        <v>0</v>
      </c>
      <c r="P23" s="23">
        <f t="shared" si="6"/>
        <v>0</v>
      </c>
      <c r="Q23" s="23">
        <f t="shared" si="6"/>
        <v>0</v>
      </c>
      <c r="R23" s="23">
        <f t="shared" si="6"/>
        <v>0</v>
      </c>
      <c r="S23" s="24">
        <f t="shared" si="6"/>
        <v>0</v>
      </c>
      <c r="T23" s="23">
        <f t="shared" si="6"/>
        <v>0</v>
      </c>
    </row>
    <row r="24" spans="1:73" ht="18.600000000000001" customHeight="1" x14ac:dyDescent="0.25"/>
    <row r="25" spans="1:73" ht="30.75" customHeight="1" x14ac:dyDescent="0.5">
      <c r="A25" s="79" t="s">
        <v>30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</row>
    <row r="26" spans="1:73" ht="30.75" customHeight="1" x14ac:dyDescent="0.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</row>
    <row r="27" spans="1:73" ht="41.25" customHeight="1" x14ac:dyDescent="0.6">
      <c r="A27" s="80" t="s">
        <v>1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</row>
    <row r="28" spans="1:73" ht="30.75" customHeight="1" x14ac:dyDescent="0.5">
      <c r="A28" s="81" t="s">
        <v>31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73" ht="30.75" customHeight="1" thickBot="1" x14ac:dyDescent="0.5">
      <c r="A29" s="64" t="s">
        <v>3</v>
      </c>
      <c r="B29" s="66" t="s">
        <v>32</v>
      </c>
      <c r="C29" s="68" t="s">
        <v>5</v>
      </c>
      <c r="D29" s="68"/>
      <c r="E29" s="68"/>
      <c r="F29" s="69" t="s">
        <v>33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 t="s">
        <v>34</v>
      </c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3" t="s">
        <v>35</v>
      </c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Z29" s="59" t="s">
        <v>36</v>
      </c>
      <c r="BA29" s="61" t="s">
        <v>37</v>
      </c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1:73" ht="58.5" customHeight="1" x14ac:dyDescent="0.25">
      <c r="A30" s="64"/>
      <c r="B30" s="66"/>
      <c r="C30" s="68"/>
      <c r="D30" s="68"/>
      <c r="E30" s="68"/>
      <c r="F30" s="62" t="s">
        <v>6</v>
      </c>
      <c r="G30" s="53"/>
      <c r="H30" s="53"/>
      <c r="I30" s="63" t="s">
        <v>7</v>
      </c>
      <c r="J30" s="53"/>
      <c r="K30" s="53"/>
      <c r="L30" s="52" t="s">
        <v>8</v>
      </c>
      <c r="M30" s="53"/>
      <c r="N30" s="53"/>
      <c r="O30" s="54" t="s">
        <v>9</v>
      </c>
      <c r="P30" s="53"/>
      <c r="Q30" s="53"/>
      <c r="R30" s="55" t="s">
        <v>10</v>
      </c>
      <c r="S30" s="53"/>
      <c r="T30" s="53"/>
      <c r="U30" s="62" t="s">
        <v>6</v>
      </c>
      <c r="V30" s="53"/>
      <c r="W30" s="53"/>
      <c r="X30" s="63" t="s">
        <v>7</v>
      </c>
      <c r="Y30" s="53"/>
      <c r="Z30" s="53"/>
      <c r="AA30" s="52" t="s">
        <v>8</v>
      </c>
      <c r="AB30" s="53"/>
      <c r="AC30" s="53"/>
      <c r="AD30" s="54" t="s">
        <v>9</v>
      </c>
      <c r="AE30" s="53"/>
      <c r="AF30" s="53"/>
      <c r="AG30" s="55" t="s">
        <v>10</v>
      </c>
      <c r="AH30" s="53"/>
      <c r="AI30" s="53"/>
      <c r="AJ30" s="62" t="s">
        <v>6</v>
      </c>
      <c r="AK30" s="53"/>
      <c r="AL30" s="53"/>
      <c r="AM30" s="63" t="s">
        <v>7</v>
      </c>
      <c r="AN30" s="53"/>
      <c r="AO30" s="53"/>
      <c r="AP30" s="52" t="s">
        <v>8</v>
      </c>
      <c r="AQ30" s="53"/>
      <c r="AR30" s="53"/>
      <c r="AS30" s="54" t="s">
        <v>9</v>
      </c>
      <c r="AT30" s="53"/>
      <c r="AU30" s="53"/>
      <c r="AV30" s="55" t="s">
        <v>10</v>
      </c>
      <c r="AW30" s="53"/>
      <c r="AX30" s="53"/>
      <c r="AZ30" s="59"/>
      <c r="BA30" s="56" t="s">
        <v>38</v>
      </c>
      <c r="BB30" s="50"/>
      <c r="BC30" s="50"/>
      <c r="BD30" s="50"/>
      <c r="BE30" s="57" t="s">
        <v>39</v>
      </c>
      <c r="BF30" s="50"/>
      <c r="BG30" s="50"/>
      <c r="BH30" s="50"/>
      <c r="BI30" s="58" t="s">
        <v>40</v>
      </c>
      <c r="BJ30" s="50"/>
      <c r="BK30" s="50"/>
      <c r="BL30" s="50"/>
      <c r="BM30" s="49" t="s">
        <v>41</v>
      </c>
      <c r="BN30" s="49"/>
      <c r="BO30" s="50"/>
      <c r="BP30" s="50"/>
      <c r="BQ30" s="51" t="s">
        <v>42</v>
      </c>
      <c r="BR30" s="50"/>
      <c r="BS30" s="50"/>
      <c r="BT30" s="50"/>
      <c r="BU30" s="25" t="s">
        <v>43</v>
      </c>
    </row>
    <row r="31" spans="1:73" ht="22.5" customHeight="1" x14ac:dyDescent="0.35">
      <c r="A31" s="65"/>
      <c r="B31" s="67"/>
      <c r="C31" s="26" t="s">
        <v>44</v>
      </c>
      <c r="D31" s="26" t="s">
        <v>45</v>
      </c>
      <c r="E31" s="27" t="s">
        <v>46</v>
      </c>
      <c r="F31" s="26" t="s">
        <v>44</v>
      </c>
      <c r="G31" s="26" t="s">
        <v>45</v>
      </c>
      <c r="H31" s="28" t="s">
        <v>46</v>
      </c>
      <c r="I31" s="26" t="s">
        <v>44</v>
      </c>
      <c r="J31" s="26" t="s">
        <v>45</v>
      </c>
      <c r="K31" s="29" t="s">
        <v>46</v>
      </c>
      <c r="L31" s="26" t="s">
        <v>44</v>
      </c>
      <c r="M31" s="26" t="s">
        <v>45</v>
      </c>
      <c r="N31" s="30" t="s">
        <v>46</v>
      </c>
      <c r="O31" s="26" t="s">
        <v>44</v>
      </c>
      <c r="P31" s="26" t="s">
        <v>45</v>
      </c>
      <c r="Q31" s="31" t="s">
        <v>46</v>
      </c>
      <c r="R31" s="26" t="s">
        <v>44</v>
      </c>
      <c r="S31" s="26" t="s">
        <v>45</v>
      </c>
      <c r="T31" s="32" t="s">
        <v>46</v>
      </c>
      <c r="U31" s="26" t="s">
        <v>44</v>
      </c>
      <c r="V31" s="26" t="s">
        <v>45</v>
      </c>
      <c r="W31" s="28" t="s">
        <v>46</v>
      </c>
      <c r="X31" s="26" t="s">
        <v>44</v>
      </c>
      <c r="Y31" s="26" t="s">
        <v>45</v>
      </c>
      <c r="Z31" s="29" t="s">
        <v>46</v>
      </c>
      <c r="AA31" s="26" t="s">
        <v>44</v>
      </c>
      <c r="AB31" s="26" t="s">
        <v>45</v>
      </c>
      <c r="AC31" s="30" t="s">
        <v>46</v>
      </c>
      <c r="AD31" s="26" t="s">
        <v>44</v>
      </c>
      <c r="AE31" s="26" t="s">
        <v>45</v>
      </c>
      <c r="AF31" s="31" t="s">
        <v>46</v>
      </c>
      <c r="AG31" s="26" t="s">
        <v>44</v>
      </c>
      <c r="AH31" s="26" t="s">
        <v>45</v>
      </c>
      <c r="AI31" s="32" t="s">
        <v>46</v>
      </c>
      <c r="AJ31" s="26" t="s">
        <v>44</v>
      </c>
      <c r="AK31" s="26" t="s">
        <v>45</v>
      </c>
      <c r="AL31" s="28" t="s">
        <v>46</v>
      </c>
      <c r="AM31" s="26" t="s">
        <v>44</v>
      </c>
      <c r="AN31" s="26" t="s">
        <v>45</v>
      </c>
      <c r="AO31" s="29" t="s">
        <v>46</v>
      </c>
      <c r="AP31" s="26" t="s">
        <v>44</v>
      </c>
      <c r="AQ31" s="26" t="s">
        <v>45</v>
      </c>
      <c r="AR31" s="30" t="s">
        <v>46</v>
      </c>
      <c r="AS31" s="26" t="s">
        <v>44</v>
      </c>
      <c r="AT31" s="26" t="s">
        <v>45</v>
      </c>
      <c r="AU31" s="31" t="s">
        <v>46</v>
      </c>
      <c r="AV31" s="26" t="s">
        <v>44</v>
      </c>
      <c r="AW31" s="26" t="s">
        <v>45</v>
      </c>
      <c r="AX31" s="32" t="s">
        <v>46</v>
      </c>
      <c r="AZ31" s="60"/>
      <c r="BA31" s="33" t="s">
        <v>44</v>
      </c>
      <c r="BB31" s="33" t="s">
        <v>45</v>
      </c>
      <c r="BC31" s="34" t="s">
        <v>46</v>
      </c>
      <c r="BD31" s="35" t="s">
        <v>47</v>
      </c>
      <c r="BE31" s="33" t="s">
        <v>44</v>
      </c>
      <c r="BF31" s="33" t="s">
        <v>45</v>
      </c>
      <c r="BG31" s="36" t="s">
        <v>46</v>
      </c>
      <c r="BH31" s="35" t="s">
        <v>47</v>
      </c>
      <c r="BI31" s="33" t="s">
        <v>44</v>
      </c>
      <c r="BJ31" s="33" t="s">
        <v>45</v>
      </c>
      <c r="BK31" s="37" t="s">
        <v>46</v>
      </c>
      <c r="BL31" s="35" t="s">
        <v>47</v>
      </c>
      <c r="BM31" s="33" t="s">
        <v>44</v>
      </c>
      <c r="BN31" s="33" t="s">
        <v>45</v>
      </c>
      <c r="BO31" s="38" t="s">
        <v>46</v>
      </c>
      <c r="BP31" s="35" t="s">
        <v>47</v>
      </c>
      <c r="BQ31" s="33" t="s">
        <v>44</v>
      </c>
      <c r="BR31" s="33" t="s">
        <v>45</v>
      </c>
      <c r="BS31" s="39" t="s">
        <v>46</v>
      </c>
      <c r="BT31" s="35" t="s">
        <v>47</v>
      </c>
      <c r="BU31" s="40"/>
    </row>
    <row r="32" spans="1:73" ht="17.25" customHeight="1" x14ac:dyDescent="0.25">
      <c r="A32" s="41">
        <v>1</v>
      </c>
      <c r="B32" s="42" t="s">
        <v>48</v>
      </c>
      <c r="C32" s="43">
        <v>53</v>
      </c>
      <c r="D32" s="11">
        <v>47</v>
      </c>
      <c r="E32" s="13">
        <f t="shared" ref="E32:E46" si="7">SUM(C32:D32)</f>
        <v>100</v>
      </c>
      <c r="F32" s="11">
        <v>2</v>
      </c>
      <c r="G32" s="11">
        <v>0</v>
      </c>
      <c r="H32" s="14">
        <f t="shared" ref="H32:H42" si="8">SUM(F32:G32)</f>
        <v>2</v>
      </c>
      <c r="I32" s="11">
        <v>4</v>
      </c>
      <c r="J32" s="11">
        <v>3</v>
      </c>
      <c r="K32" s="15">
        <f t="shared" ref="K32:K46" si="9">SUM(I32:J32)</f>
        <v>7</v>
      </c>
      <c r="L32" s="11">
        <v>20</v>
      </c>
      <c r="M32" s="11">
        <v>18</v>
      </c>
      <c r="N32" s="16">
        <f t="shared" ref="N32:N44" si="10">SUM(L32:M32)</f>
        <v>38</v>
      </c>
      <c r="O32" s="11">
        <v>0</v>
      </c>
      <c r="P32" s="11">
        <v>0</v>
      </c>
      <c r="Q32" s="17">
        <f t="shared" ref="Q32:Q37" si="11">SUM(O32:P32)</f>
        <v>0</v>
      </c>
      <c r="R32" s="11">
        <v>0</v>
      </c>
      <c r="S32" s="19">
        <v>0</v>
      </c>
      <c r="T32" s="20">
        <f t="shared" ref="T32:T35" si="12">SUM(R32:S32)</f>
        <v>0</v>
      </c>
      <c r="U32" s="11">
        <v>3</v>
      </c>
      <c r="V32" s="11">
        <v>0</v>
      </c>
      <c r="W32" s="14">
        <f t="shared" ref="W32:W42" si="13">SUM(U32:V32)</f>
        <v>3</v>
      </c>
      <c r="X32" s="11">
        <v>8</v>
      </c>
      <c r="Y32" s="11">
        <v>8</v>
      </c>
      <c r="Z32" s="15">
        <f t="shared" ref="Z32:Z46" si="14">SUM(X32:Y32)</f>
        <v>16</v>
      </c>
      <c r="AA32" s="11">
        <v>19</v>
      </c>
      <c r="AB32" s="11">
        <v>12</v>
      </c>
      <c r="AC32" s="16">
        <f t="shared" ref="AC32:AC46" si="15">SUM(AA32:AB32)</f>
        <v>31</v>
      </c>
      <c r="AD32" s="11">
        <v>0</v>
      </c>
      <c r="AE32" s="11">
        <v>0</v>
      </c>
      <c r="AF32" s="17">
        <f t="shared" ref="AF32:AF37" si="16">SUM(AD32:AE32)</f>
        <v>0</v>
      </c>
      <c r="AG32" s="11">
        <v>0</v>
      </c>
      <c r="AH32" s="19">
        <v>0</v>
      </c>
      <c r="AI32" s="20">
        <f t="shared" ref="AI32:AI35" si="17">SUM(AG32:AH32)</f>
        <v>0</v>
      </c>
      <c r="AJ32" s="11">
        <v>0</v>
      </c>
      <c r="AK32" s="11">
        <v>0</v>
      </c>
      <c r="AL32" s="14">
        <f t="shared" ref="AL32:AL42" si="18">SUM(AJ32:AK32)</f>
        <v>0</v>
      </c>
      <c r="AM32" s="11">
        <v>0</v>
      </c>
      <c r="AN32" s="11">
        <v>0</v>
      </c>
      <c r="AO32" s="15">
        <f t="shared" ref="AO32:AO46" si="19">SUM(AM32:AN32)</f>
        <v>0</v>
      </c>
      <c r="AP32" s="11">
        <v>2</v>
      </c>
      <c r="AQ32" s="11">
        <v>1</v>
      </c>
      <c r="AR32" s="16">
        <f t="shared" ref="AR32:AR46" si="20">SUM(AP32:AQ32)</f>
        <v>3</v>
      </c>
      <c r="AS32" s="11">
        <v>0</v>
      </c>
      <c r="AT32" s="11">
        <v>0</v>
      </c>
      <c r="AU32" s="17">
        <f t="shared" ref="AU32:AU37" si="21">SUM(AS32:AT32)</f>
        <v>0</v>
      </c>
      <c r="AV32" s="11">
        <v>0</v>
      </c>
      <c r="AW32" s="19">
        <v>0</v>
      </c>
      <c r="AX32" s="20">
        <f t="shared" ref="AX32:AX35" si="22">SUM(AV32:AW32)</f>
        <v>0</v>
      </c>
      <c r="AZ32" s="44">
        <f>H32+K32+N32+Q32+T32+W32+Z32+AC32+AF32+AI32+AL32+AO32+AR32+AU32+AX32</f>
        <v>100</v>
      </c>
      <c r="BA32" s="40">
        <f>F32+U32+AJ32</f>
        <v>5</v>
      </c>
      <c r="BB32" s="40">
        <f>G32+V32+AK32</f>
        <v>0</v>
      </c>
      <c r="BC32" s="40">
        <f>H32+W32+AL32</f>
        <v>5</v>
      </c>
      <c r="BD32" s="40">
        <f>ROUND((BC32/E32)*100,0)</f>
        <v>5</v>
      </c>
      <c r="BE32" s="40">
        <f>I32+X32+AM32</f>
        <v>12</v>
      </c>
      <c r="BF32" s="40">
        <f>J32+Y32+AN32</f>
        <v>11</v>
      </c>
      <c r="BG32" s="40">
        <f>K32+Z32+AO32</f>
        <v>23</v>
      </c>
      <c r="BH32" s="40">
        <f>ROUND((BG32/E32)*100,0)</f>
        <v>23</v>
      </c>
      <c r="BI32" s="40">
        <f>L32+AA32+AP32</f>
        <v>41</v>
      </c>
      <c r="BJ32" s="40">
        <f>M32+AB32+AQ32</f>
        <v>31</v>
      </c>
      <c r="BK32" s="40">
        <f>N32+AC32+AR32</f>
        <v>72</v>
      </c>
      <c r="BL32" s="40">
        <f>ROUND((BK32/E32)*100,0)</f>
        <v>72</v>
      </c>
      <c r="BM32" s="40">
        <f>O32+AD32+AS32</f>
        <v>0</v>
      </c>
      <c r="BN32" s="40">
        <f>P32+AE32+AT32</f>
        <v>0</v>
      </c>
      <c r="BO32" s="40">
        <f>Q32+AF32+AU32</f>
        <v>0</v>
      </c>
      <c r="BP32" s="40">
        <f>ROUND((BO32/E32)*100,0)</f>
        <v>0</v>
      </c>
      <c r="BQ32" s="40">
        <f>R32+AG32+AV32</f>
        <v>0</v>
      </c>
      <c r="BR32" s="40">
        <f>S32+AH32+AW32</f>
        <v>0</v>
      </c>
      <c r="BS32" s="40">
        <f>T32+AI32+AX32</f>
        <v>0</v>
      </c>
      <c r="BT32" s="40">
        <f>ROUND((BS32/E32)*100,0)</f>
        <v>0</v>
      </c>
      <c r="BU32" s="40">
        <f>ROUND((BD32+BH32+BL32+BP32+BT32),0)</f>
        <v>100</v>
      </c>
    </row>
    <row r="33" spans="1:73" ht="17.25" customHeight="1" x14ac:dyDescent="0.25">
      <c r="A33" s="41">
        <v>2</v>
      </c>
      <c r="B33" s="42" t="s">
        <v>49</v>
      </c>
      <c r="C33" s="43">
        <v>37</v>
      </c>
      <c r="D33" s="11">
        <v>50</v>
      </c>
      <c r="E33" s="13">
        <f t="shared" si="7"/>
        <v>87</v>
      </c>
      <c r="F33" s="11">
        <v>2</v>
      </c>
      <c r="G33" s="11">
        <v>2</v>
      </c>
      <c r="H33" s="14">
        <f t="shared" si="8"/>
        <v>4</v>
      </c>
      <c r="I33" s="11">
        <v>1</v>
      </c>
      <c r="J33" s="11">
        <v>1</v>
      </c>
      <c r="K33" s="15">
        <f t="shared" si="9"/>
        <v>2</v>
      </c>
      <c r="L33" s="11">
        <v>15</v>
      </c>
      <c r="M33" s="11">
        <v>24</v>
      </c>
      <c r="N33" s="16">
        <f t="shared" si="10"/>
        <v>39</v>
      </c>
      <c r="O33" s="11">
        <v>0</v>
      </c>
      <c r="P33" s="11">
        <v>0</v>
      </c>
      <c r="Q33" s="17">
        <f t="shared" si="11"/>
        <v>0</v>
      </c>
      <c r="R33" s="11">
        <v>0</v>
      </c>
      <c r="S33" s="11">
        <v>0</v>
      </c>
      <c r="T33" s="20">
        <f t="shared" si="12"/>
        <v>0</v>
      </c>
      <c r="U33" s="11">
        <v>3</v>
      </c>
      <c r="V33" s="11">
        <v>4</v>
      </c>
      <c r="W33" s="14">
        <f t="shared" si="13"/>
        <v>7</v>
      </c>
      <c r="X33" s="11">
        <v>4</v>
      </c>
      <c r="Y33" s="11">
        <v>3</v>
      </c>
      <c r="Z33" s="15">
        <f t="shared" si="14"/>
        <v>7</v>
      </c>
      <c r="AA33" s="11">
        <v>8</v>
      </c>
      <c r="AB33" s="11">
        <v>14</v>
      </c>
      <c r="AC33" s="16">
        <f t="shared" si="15"/>
        <v>22</v>
      </c>
      <c r="AD33" s="11">
        <v>0</v>
      </c>
      <c r="AE33" s="11">
        <v>0</v>
      </c>
      <c r="AF33" s="17">
        <f t="shared" si="16"/>
        <v>0</v>
      </c>
      <c r="AG33" s="11">
        <v>0</v>
      </c>
      <c r="AH33" s="11">
        <v>0</v>
      </c>
      <c r="AI33" s="20">
        <f t="shared" si="17"/>
        <v>0</v>
      </c>
      <c r="AJ33" s="11">
        <v>0</v>
      </c>
      <c r="AK33" s="11">
        <v>0</v>
      </c>
      <c r="AL33" s="14">
        <f t="shared" si="18"/>
        <v>0</v>
      </c>
      <c r="AM33" s="11">
        <v>1</v>
      </c>
      <c r="AN33" s="11">
        <v>0</v>
      </c>
      <c r="AO33" s="15">
        <f t="shared" si="19"/>
        <v>1</v>
      </c>
      <c r="AP33" s="11">
        <v>3</v>
      </c>
      <c r="AQ33" s="11">
        <v>2</v>
      </c>
      <c r="AR33" s="16">
        <f t="shared" si="20"/>
        <v>5</v>
      </c>
      <c r="AS33" s="11"/>
      <c r="AT33" s="11"/>
      <c r="AU33" s="17">
        <f t="shared" si="21"/>
        <v>0</v>
      </c>
      <c r="AV33" s="11"/>
      <c r="AW33" s="11"/>
      <c r="AX33" s="20">
        <f t="shared" si="22"/>
        <v>0</v>
      </c>
      <c r="AZ33" s="44">
        <f t="shared" ref="AZ33:AZ58" si="23">H33+K33+N33+Q33+T33+W33+Z33+AC33+AF33+AI33+AL33+AO33+AR33+AU33+AX33</f>
        <v>87</v>
      </c>
      <c r="BA33" s="40">
        <f t="shared" ref="BA33:BC57" si="24">F33+U33+AJ33</f>
        <v>5</v>
      </c>
      <c r="BB33" s="40">
        <f t="shared" si="24"/>
        <v>6</v>
      </c>
      <c r="BC33" s="40">
        <f t="shared" si="24"/>
        <v>11</v>
      </c>
      <c r="BD33" s="40">
        <f t="shared" ref="BD33:BD58" si="25">ROUND((BC33/E33)*100,0)</f>
        <v>13</v>
      </c>
      <c r="BE33" s="40">
        <f t="shared" ref="BE33:BG57" si="26">I33+X33+AM33</f>
        <v>6</v>
      </c>
      <c r="BF33" s="40">
        <f t="shared" si="26"/>
        <v>4</v>
      </c>
      <c r="BG33" s="40">
        <f t="shared" si="26"/>
        <v>10</v>
      </c>
      <c r="BH33" s="40">
        <f t="shared" ref="BH33:BH58" si="27">ROUND((BG33/E33)*100,0)</f>
        <v>11</v>
      </c>
      <c r="BI33" s="40">
        <f t="shared" ref="BI33:BK57" si="28">L33+AA33+AP33</f>
        <v>26</v>
      </c>
      <c r="BJ33" s="40">
        <f t="shared" si="28"/>
        <v>40</v>
      </c>
      <c r="BK33" s="40">
        <f t="shared" si="28"/>
        <v>66</v>
      </c>
      <c r="BL33" s="40">
        <f t="shared" ref="BL33:BL58" si="29">ROUND((BK33/E33)*100,0)</f>
        <v>76</v>
      </c>
      <c r="BM33" s="40">
        <f t="shared" ref="BM33:BO57" si="30">O33+AD33+AS33</f>
        <v>0</v>
      </c>
      <c r="BN33" s="40">
        <f t="shared" si="30"/>
        <v>0</v>
      </c>
      <c r="BO33" s="40">
        <f t="shared" si="30"/>
        <v>0</v>
      </c>
      <c r="BP33" s="40">
        <f t="shared" ref="BP33:BP58" si="31">ROUND((BO33/E33)*100,0)</f>
        <v>0</v>
      </c>
      <c r="BQ33" s="40">
        <f t="shared" ref="BQ33:BS57" si="32">R33+AG33+AV33</f>
        <v>0</v>
      </c>
      <c r="BR33" s="40">
        <f t="shared" si="32"/>
        <v>0</v>
      </c>
      <c r="BS33" s="40">
        <f t="shared" si="32"/>
        <v>0</v>
      </c>
      <c r="BT33" s="40">
        <f t="shared" ref="BT33:BT58" si="33">ROUND((BS33/E33)*100,0)</f>
        <v>0</v>
      </c>
      <c r="BU33" s="40">
        <f t="shared" ref="BU33:BU58" si="34">ROUND((BD33+BH33+BL33+BP33+BT33),0)</f>
        <v>100</v>
      </c>
    </row>
    <row r="34" spans="1:73" ht="17.25" customHeight="1" x14ac:dyDescent="0.25">
      <c r="A34" s="41">
        <v>3</v>
      </c>
      <c r="B34" s="42" t="s">
        <v>50</v>
      </c>
      <c r="C34" s="43">
        <v>104</v>
      </c>
      <c r="D34" s="11">
        <v>88</v>
      </c>
      <c r="E34" s="13">
        <f t="shared" si="7"/>
        <v>192</v>
      </c>
      <c r="F34" s="11">
        <v>8</v>
      </c>
      <c r="G34" s="11">
        <v>2</v>
      </c>
      <c r="H34" s="14">
        <f t="shared" si="8"/>
        <v>10</v>
      </c>
      <c r="I34" s="11">
        <v>12</v>
      </c>
      <c r="J34" s="11">
        <v>6</v>
      </c>
      <c r="K34" s="15">
        <f t="shared" si="9"/>
        <v>18</v>
      </c>
      <c r="L34" s="11">
        <v>29</v>
      </c>
      <c r="M34" s="11">
        <v>39</v>
      </c>
      <c r="N34" s="16">
        <f t="shared" si="10"/>
        <v>68</v>
      </c>
      <c r="O34" s="11">
        <v>0</v>
      </c>
      <c r="P34" s="11">
        <v>0</v>
      </c>
      <c r="Q34" s="17">
        <f t="shared" si="11"/>
        <v>0</v>
      </c>
      <c r="R34" s="11">
        <v>0</v>
      </c>
      <c r="S34" s="11">
        <v>0</v>
      </c>
      <c r="T34" s="20">
        <f t="shared" si="12"/>
        <v>0</v>
      </c>
      <c r="U34" s="11">
        <v>4</v>
      </c>
      <c r="V34" s="11">
        <v>2</v>
      </c>
      <c r="W34" s="14">
        <f t="shared" si="13"/>
        <v>6</v>
      </c>
      <c r="X34" s="11">
        <v>10</v>
      </c>
      <c r="Y34" s="11">
        <v>2</v>
      </c>
      <c r="Z34" s="15">
        <f t="shared" si="14"/>
        <v>12</v>
      </c>
      <c r="AA34" s="11">
        <v>32</v>
      </c>
      <c r="AB34" s="11">
        <v>33</v>
      </c>
      <c r="AC34" s="16">
        <f t="shared" si="15"/>
        <v>65</v>
      </c>
      <c r="AD34" s="11">
        <v>0</v>
      </c>
      <c r="AE34" s="11">
        <v>0</v>
      </c>
      <c r="AF34" s="17">
        <f t="shared" si="16"/>
        <v>0</v>
      </c>
      <c r="AG34" s="11">
        <v>0</v>
      </c>
      <c r="AH34" s="11">
        <v>0</v>
      </c>
      <c r="AI34" s="20">
        <f t="shared" si="17"/>
        <v>0</v>
      </c>
      <c r="AJ34" s="11">
        <v>0</v>
      </c>
      <c r="AK34" s="11">
        <v>0</v>
      </c>
      <c r="AL34" s="14">
        <f t="shared" si="18"/>
        <v>0</v>
      </c>
      <c r="AM34" s="11">
        <v>0</v>
      </c>
      <c r="AN34" s="11">
        <v>0</v>
      </c>
      <c r="AO34" s="15">
        <f t="shared" si="19"/>
        <v>0</v>
      </c>
      <c r="AP34" s="11">
        <v>9</v>
      </c>
      <c r="AQ34" s="11">
        <v>4</v>
      </c>
      <c r="AR34" s="16">
        <f t="shared" si="20"/>
        <v>13</v>
      </c>
      <c r="AS34" s="11">
        <v>0</v>
      </c>
      <c r="AT34" s="11">
        <v>0</v>
      </c>
      <c r="AU34" s="17">
        <f t="shared" si="21"/>
        <v>0</v>
      </c>
      <c r="AV34" s="11">
        <v>0</v>
      </c>
      <c r="AW34" s="11">
        <v>0</v>
      </c>
      <c r="AX34" s="20">
        <f t="shared" si="22"/>
        <v>0</v>
      </c>
      <c r="AZ34" s="44">
        <f t="shared" si="23"/>
        <v>192</v>
      </c>
      <c r="BA34" s="40">
        <f t="shared" si="24"/>
        <v>12</v>
      </c>
      <c r="BB34" s="40">
        <f t="shared" si="24"/>
        <v>4</v>
      </c>
      <c r="BC34" s="40">
        <f t="shared" si="24"/>
        <v>16</v>
      </c>
      <c r="BD34" s="40">
        <f t="shared" si="25"/>
        <v>8</v>
      </c>
      <c r="BE34" s="40">
        <f t="shared" si="26"/>
        <v>22</v>
      </c>
      <c r="BF34" s="40">
        <f t="shared" si="26"/>
        <v>8</v>
      </c>
      <c r="BG34" s="40">
        <f t="shared" si="26"/>
        <v>30</v>
      </c>
      <c r="BH34" s="40">
        <f t="shared" si="27"/>
        <v>16</v>
      </c>
      <c r="BI34" s="40">
        <f t="shared" si="28"/>
        <v>70</v>
      </c>
      <c r="BJ34" s="40">
        <f t="shared" si="28"/>
        <v>76</v>
      </c>
      <c r="BK34" s="40">
        <f t="shared" si="28"/>
        <v>146</v>
      </c>
      <c r="BL34" s="40">
        <f t="shared" si="29"/>
        <v>76</v>
      </c>
      <c r="BM34" s="40">
        <f t="shared" si="30"/>
        <v>0</v>
      </c>
      <c r="BN34" s="40">
        <f t="shared" si="30"/>
        <v>0</v>
      </c>
      <c r="BO34" s="40">
        <f t="shared" si="30"/>
        <v>0</v>
      </c>
      <c r="BP34" s="40">
        <f t="shared" si="31"/>
        <v>0</v>
      </c>
      <c r="BQ34" s="40">
        <f t="shared" si="32"/>
        <v>0</v>
      </c>
      <c r="BR34" s="40">
        <f t="shared" si="32"/>
        <v>0</v>
      </c>
      <c r="BS34" s="40">
        <f t="shared" si="32"/>
        <v>0</v>
      </c>
      <c r="BT34" s="40">
        <f t="shared" si="33"/>
        <v>0</v>
      </c>
      <c r="BU34" s="40">
        <f t="shared" si="34"/>
        <v>100</v>
      </c>
    </row>
    <row r="35" spans="1:73" ht="17.25" customHeight="1" x14ac:dyDescent="0.25">
      <c r="A35" s="45">
        <v>4</v>
      </c>
      <c r="B35" s="42" t="s">
        <v>51</v>
      </c>
      <c r="C35" s="43">
        <v>74</v>
      </c>
      <c r="D35" s="11">
        <v>74</v>
      </c>
      <c r="E35" s="13">
        <f t="shared" si="7"/>
        <v>148</v>
      </c>
      <c r="F35" s="11">
        <v>0</v>
      </c>
      <c r="G35" s="11">
        <v>1</v>
      </c>
      <c r="H35" s="14">
        <f t="shared" si="8"/>
        <v>1</v>
      </c>
      <c r="I35" s="11">
        <v>0</v>
      </c>
      <c r="J35" s="11">
        <v>0</v>
      </c>
      <c r="K35" s="15">
        <v>0</v>
      </c>
      <c r="L35" s="11">
        <v>20</v>
      </c>
      <c r="M35" s="11">
        <v>35</v>
      </c>
      <c r="N35" s="16">
        <v>55</v>
      </c>
      <c r="O35" s="11">
        <v>0</v>
      </c>
      <c r="P35" s="11">
        <v>0</v>
      </c>
      <c r="Q35" s="17">
        <v>0</v>
      </c>
      <c r="R35" s="11">
        <v>0</v>
      </c>
      <c r="S35" s="11">
        <v>0</v>
      </c>
      <c r="T35" s="20">
        <f t="shared" si="12"/>
        <v>0</v>
      </c>
      <c r="U35" s="11">
        <v>0</v>
      </c>
      <c r="V35" s="11">
        <v>0</v>
      </c>
      <c r="W35" s="14">
        <f t="shared" si="13"/>
        <v>0</v>
      </c>
      <c r="X35" s="11">
        <v>0</v>
      </c>
      <c r="Y35" s="11">
        <v>0</v>
      </c>
      <c r="Z35" s="15">
        <f t="shared" si="14"/>
        <v>0</v>
      </c>
      <c r="AA35" s="11">
        <v>44</v>
      </c>
      <c r="AB35" s="11">
        <v>37</v>
      </c>
      <c r="AC35" s="16">
        <f t="shared" si="15"/>
        <v>81</v>
      </c>
      <c r="AD35" s="11">
        <v>0</v>
      </c>
      <c r="AE35" s="11">
        <v>0</v>
      </c>
      <c r="AF35" s="17">
        <f t="shared" si="16"/>
        <v>0</v>
      </c>
      <c r="AG35" s="11"/>
      <c r="AH35" s="11"/>
      <c r="AI35" s="20">
        <f t="shared" si="17"/>
        <v>0</v>
      </c>
      <c r="AJ35" s="11"/>
      <c r="AK35" s="11"/>
      <c r="AL35" s="14">
        <f t="shared" si="18"/>
        <v>0</v>
      </c>
      <c r="AM35" s="11">
        <v>1</v>
      </c>
      <c r="AN35" s="11">
        <v>0</v>
      </c>
      <c r="AO35" s="15">
        <f t="shared" si="19"/>
        <v>1</v>
      </c>
      <c r="AP35" s="11">
        <v>8</v>
      </c>
      <c r="AQ35" s="11">
        <v>2</v>
      </c>
      <c r="AR35" s="16">
        <f t="shared" si="20"/>
        <v>10</v>
      </c>
      <c r="AS35" s="11">
        <v>0</v>
      </c>
      <c r="AT35" s="11">
        <v>0</v>
      </c>
      <c r="AU35" s="17">
        <f t="shared" si="21"/>
        <v>0</v>
      </c>
      <c r="AV35" s="11">
        <v>0</v>
      </c>
      <c r="AW35" s="11">
        <v>0</v>
      </c>
      <c r="AX35" s="20">
        <f t="shared" si="22"/>
        <v>0</v>
      </c>
      <c r="AZ35" s="44">
        <f t="shared" si="23"/>
        <v>148</v>
      </c>
      <c r="BA35" s="40">
        <f t="shared" si="24"/>
        <v>0</v>
      </c>
      <c r="BB35" s="40">
        <f t="shared" si="24"/>
        <v>1</v>
      </c>
      <c r="BC35" s="40">
        <f t="shared" si="24"/>
        <v>1</v>
      </c>
      <c r="BD35" s="40">
        <f t="shared" si="25"/>
        <v>1</v>
      </c>
      <c r="BE35" s="40">
        <f t="shared" si="26"/>
        <v>1</v>
      </c>
      <c r="BF35" s="40">
        <f t="shared" si="26"/>
        <v>0</v>
      </c>
      <c r="BG35" s="40">
        <f t="shared" si="26"/>
        <v>1</v>
      </c>
      <c r="BH35" s="40">
        <f t="shared" si="27"/>
        <v>1</v>
      </c>
      <c r="BI35" s="40">
        <f t="shared" si="28"/>
        <v>72</v>
      </c>
      <c r="BJ35" s="40">
        <f t="shared" si="28"/>
        <v>74</v>
      </c>
      <c r="BK35" s="40">
        <f t="shared" si="28"/>
        <v>146</v>
      </c>
      <c r="BL35" s="40">
        <f t="shared" si="29"/>
        <v>99</v>
      </c>
      <c r="BM35" s="40">
        <f t="shared" si="30"/>
        <v>0</v>
      </c>
      <c r="BN35" s="40">
        <f t="shared" si="30"/>
        <v>0</v>
      </c>
      <c r="BO35" s="40">
        <f t="shared" si="30"/>
        <v>0</v>
      </c>
      <c r="BP35" s="40">
        <f t="shared" si="31"/>
        <v>0</v>
      </c>
      <c r="BQ35" s="40">
        <f t="shared" si="32"/>
        <v>0</v>
      </c>
      <c r="BR35" s="40">
        <f t="shared" si="32"/>
        <v>0</v>
      </c>
      <c r="BS35" s="40">
        <f t="shared" si="32"/>
        <v>0</v>
      </c>
      <c r="BT35" s="40">
        <f t="shared" si="33"/>
        <v>0</v>
      </c>
      <c r="BU35" s="40">
        <f t="shared" si="34"/>
        <v>101</v>
      </c>
    </row>
    <row r="36" spans="1:73" ht="17.25" customHeight="1" x14ac:dyDescent="0.25">
      <c r="A36" s="41">
        <v>5</v>
      </c>
      <c r="B36" s="42" t="s">
        <v>52</v>
      </c>
      <c r="C36" s="43">
        <v>50</v>
      </c>
      <c r="D36" s="11">
        <v>48</v>
      </c>
      <c r="E36" s="13">
        <f t="shared" si="7"/>
        <v>98</v>
      </c>
      <c r="F36" s="11">
        <v>1</v>
      </c>
      <c r="G36" s="11"/>
      <c r="H36" s="14">
        <f t="shared" si="8"/>
        <v>1</v>
      </c>
      <c r="I36" s="11">
        <v>3</v>
      </c>
      <c r="J36" s="11">
        <v>2</v>
      </c>
      <c r="K36" s="15">
        <f t="shared" si="9"/>
        <v>5</v>
      </c>
      <c r="L36" s="11">
        <v>18</v>
      </c>
      <c r="M36" s="11">
        <v>13</v>
      </c>
      <c r="N36" s="16">
        <f t="shared" si="10"/>
        <v>31</v>
      </c>
      <c r="O36" s="11">
        <v>0</v>
      </c>
      <c r="P36" s="11">
        <v>0</v>
      </c>
      <c r="Q36" s="17">
        <f t="shared" si="11"/>
        <v>0</v>
      </c>
      <c r="R36" s="11">
        <v>0</v>
      </c>
      <c r="S36" s="11">
        <v>0</v>
      </c>
      <c r="T36" s="20">
        <f>SUM(R36:S36)</f>
        <v>0</v>
      </c>
      <c r="U36" s="11">
        <v>4</v>
      </c>
      <c r="V36" s="11">
        <v>0</v>
      </c>
      <c r="W36" s="14">
        <f t="shared" si="13"/>
        <v>4</v>
      </c>
      <c r="X36" s="11">
        <v>5</v>
      </c>
      <c r="Y36" s="11">
        <v>6</v>
      </c>
      <c r="Z36" s="15">
        <f t="shared" si="14"/>
        <v>11</v>
      </c>
      <c r="AA36" s="11">
        <v>17</v>
      </c>
      <c r="AB36" s="11">
        <v>23</v>
      </c>
      <c r="AC36" s="16">
        <f t="shared" si="15"/>
        <v>40</v>
      </c>
      <c r="AD36" s="11">
        <v>0</v>
      </c>
      <c r="AE36" s="11">
        <v>0</v>
      </c>
      <c r="AF36" s="17">
        <f t="shared" si="16"/>
        <v>0</v>
      </c>
      <c r="AG36" s="11">
        <v>0</v>
      </c>
      <c r="AH36" s="11">
        <v>0</v>
      </c>
      <c r="AI36" s="20">
        <f>SUM(AG36:AH36)</f>
        <v>0</v>
      </c>
      <c r="AJ36" s="11">
        <v>0</v>
      </c>
      <c r="AK36" s="11">
        <v>0</v>
      </c>
      <c r="AL36" s="14">
        <f t="shared" si="18"/>
        <v>0</v>
      </c>
      <c r="AM36" s="11">
        <v>0</v>
      </c>
      <c r="AN36" s="11">
        <v>0</v>
      </c>
      <c r="AO36" s="15">
        <f t="shared" si="19"/>
        <v>0</v>
      </c>
      <c r="AP36" s="11">
        <v>3</v>
      </c>
      <c r="AQ36" s="11">
        <v>3</v>
      </c>
      <c r="AR36" s="16">
        <f t="shared" si="20"/>
        <v>6</v>
      </c>
      <c r="AS36" s="11">
        <v>0</v>
      </c>
      <c r="AT36" s="11">
        <v>0</v>
      </c>
      <c r="AU36" s="17">
        <f t="shared" si="21"/>
        <v>0</v>
      </c>
      <c r="AV36" s="11"/>
      <c r="AW36" s="11">
        <v>0</v>
      </c>
      <c r="AX36" s="20">
        <f>SUM(AV36:AW36)</f>
        <v>0</v>
      </c>
      <c r="AZ36" s="44">
        <f t="shared" si="23"/>
        <v>98</v>
      </c>
      <c r="BA36" s="40">
        <f t="shared" si="24"/>
        <v>5</v>
      </c>
      <c r="BB36" s="40">
        <f t="shared" si="24"/>
        <v>0</v>
      </c>
      <c r="BC36" s="40">
        <f t="shared" si="24"/>
        <v>5</v>
      </c>
      <c r="BD36" s="40">
        <f t="shared" si="25"/>
        <v>5</v>
      </c>
      <c r="BE36" s="40">
        <f t="shared" si="26"/>
        <v>8</v>
      </c>
      <c r="BF36" s="40">
        <f t="shared" si="26"/>
        <v>8</v>
      </c>
      <c r="BG36" s="40">
        <f t="shared" si="26"/>
        <v>16</v>
      </c>
      <c r="BH36" s="40">
        <f t="shared" si="27"/>
        <v>16</v>
      </c>
      <c r="BI36" s="40">
        <f t="shared" si="28"/>
        <v>38</v>
      </c>
      <c r="BJ36" s="40">
        <f t="shared" si="28"/>
        <v>39</v>
      </c>
      <c r="BK36" s="40">
        <f t="shared" si="28"/>
        <v>77</v>
      </c>
      <c r="BL36" s="40">
        <f t="shared" si="29"/>
        <v>79</v>
      </c>
      <c r="BM36" s="40">
        <f t="shared" si="30"/>
        <v>0</v>
      </c>
      <c r="BN36" s="40">
        <f t="shared" si="30"/>
        <v>0</v>
      </c>
      <c r="BO36" s="40">
        <f t="shared" si="30"/>
        <v>0</v>
      </c>
      <c r="BP36" s="40">
        <f t="shared" si="31"/>
        <v>0</v>
      </c>
      <c r="BQ36" s="40">
        <f t="shared" si="32"/>
        <v>0</v>
      </c>
      <c r="BR36" s="40">
        <f t="shared" si="32"/>
        <v>0</v>
      </c>
      <c r="BS36" s="40">
        <f t="shared" si="32"/>
        <v>0</v>
      </c>
      <c r="BT36" s="40">
        <f t="shared" si="33"/>
        <v>0</v>
      </c>
      <c r="BU36" s="40">
        <f t="shared" si="34"/>
        <v>100</v>
      </c>
    </row>
    <row r="37" spans="1:73" ht="17.25" customHeight="1" x14ac:dyDescent="0.25">
      <c r="A37" s="41">
        <v>6</v>
      </c>
      <c r="B37" s="42" t="s">
        <v>53</v>
      </c>
      <c r="C37" s="43">
        <v>106</v>
      </c>
      <c r="D37" s="11">
        <v>126</v>
      </c>
      <c r="E37" s="13">
        <f t="shared" si="7"/>
        <v>232</v>
      </c>
      <c r="F37" s="11">
        <v>3</v>
      </c>
      <c r="G37" s="11">
        <v>2</v>
      </c>
      <c r="H37" s="14">
        <f t="shared" si="8"/>
        <v>5</v>
      </c>
      <c r="I37" s="11">
        <v>0</v>
      </c>
      <c r="J37" s="11">
        <v>4</v>
      </c>
      <c r="K37" s="15">
        <f t="shared" si="9"/>
        <v>4</v>
      </c>
      <c r="L37" s="11">
        <v>35</v>
      </c>
      <c r="M37" s="11">
        <v>47</v>
      </c>
      <c r="N37" s="16">
        <f t="shared" si="10"/>
        <v>82</v>
      </c>
      <c r="O37" s="11">
        <v>0</v>
      </c>
      <c r="P37" s="11">
        <v>0</v>
      </c>
      <c r="Q37" s="17">
        <f t="shared" si="11"/>
        <v>0</v>
      </c>
      <c r="R37" s="11">
        <v>0</v>
      </c>
      <c r="S37" s="11">
        <v>0</v>
      </c>
      <c r="T37" s="20">
        <f t="shared" ref="T37" si="35">SUM(R37:S37)</f>
        <v>0</v>
      </c>
      <c r="U37" s="11">
        <v>14</v>
      </c>
      <c r="V37" s="11">
        <v>7</v>
      </c>
      <c r="W37" s="14">
        <f t="shared" si="13"/>
        <v>21</v>
      </c>
      <c r="X37" s="11">
        <v>15</v>
      </c>
      <c r="Y37" s="11">
        <v>11</v>
      </c>
      <c r="Z37" s="15">
        <f t="shared" si="14"/>
        <v>26</v>
      </c>
      <c r="AA37" s="11">
        <v>30</v>
      </c>
      <c r="AB37" s="11">
        <v>55</v>
      </c>
      <c r="AC37" s="16">
        <f t="shared" si="15"/>
        <v>85</v>
      </c>
      <c r="AD37" s="11">
        <v>0</v>
      </c>
      <c r="AE37" s="11">
        <v>0</v>
      </c>
      <c r="AF37" s="17">
        <f t="shared" si="16"/>
        <v>0</v>
      </c>
      <c r="AG37" s="11">
        <v>0</v>
      </c>
      <c r="AH37" s="11">
        <v>0</v>
      </c>
      <c r="AI37" s="20">
        <f t="shared" ref="AI37" si="36">SUM(AG37:AH37)</f>
        <v>0</v>
      </c>
      <c r="AJ37" s="11">
        <v>3</v>
      </c>
      <c r="AK37" s="11">
        <v>0</v>
      </c>
      <c r="AL37" s="14">
        <f t="shared" si="18"/>
        <v>3</v>
      </c>
      <c r="AM37" s="11">
        <v>4</v>
      </c>
      <c r="AN37" s="11">
        <v>0</v>
      </c>
      <c r="AO37" s="15">
        <f t="shared" si="19"/>
        <v>4</v>
      </c>
      <c r="AP37" s="11">
        <v>1</v>
      </c>
      <c r="AQ37" s="11">
        <v>1</v>
      </c>
      <c r="AR37" s="16">
        <f t="shared" si="20"/>
        <v>2</v>
      </c>
      <c r="AS37" s="11">
        <v>0</v>
      </c>
      <c r="AT37" s="11">
        <v>0</v>
      </c>
      <c r="AU37" s="17">
        <f t="shared" si="21"/>
        <v>0</v>
      </c>
      <c r="AV37" s="11">
        <v>0</v>
      </c>
      <c r="AW37" s="11">
        <v>0</v>
      </c>
      <c r="AX37" s="20">
        <f t="shared" ref="AX37" si="37">SUM(AV37:AW37)</f>
        <v>0</v>
      </c>
      <c r="AZ37" s="44">
        <f t="shared" si="23"/>
        <v>232</v>
      </c>
      <c r="BA37" s="40">
        <f t="shared" si="24"/>
        <v>20</v>
      </c>
      <c r="BB37" s="40">
        <f t="shared" si="24"/>
        <v>9</v>
      </c>
      <c r="BC37" s="40">
        <f t="shared" si="24"/>
        <v>29</v>
      </c>
      <c r="BD37" s="40">
        <f t="shared" si="25"/>
        <v>13</v>
      </c>
      <c r="BE37" s="40">
        <f t="shared" si="26"/>
        <v>19</v>
      </c>
      <c r="BF37" s="40">
        <f t="shared" si="26"/>
        <v>15</v>
      </c>
      <c r="BG37" s="40">
        <f t="shared" si="26"/>
        <v>34</v>
      </c>
      <c r="BH37" s="40">
        <f t="shared" si="27"/>
        <v>15</v>
      </c>
      <c r="BI37" s="40">
        <f t="shared" si="28"/>
        <v>66</v>
      </c>
      <c r="BJ37" s="40">
        <f t="shared" si="28"/>
        <v>103</v>
      </c>
      <c r="BK37" s="40">
        <f t="shared" si="28"/>
        <v>169</v>
      </c>
      <c r="BL37" s="40">
        <f t="shared" si="29"/>
        <v>73</v>
      </c>
      <c r="BM37" s="40">
        <f t="shared" si="30"/>
        <v>0</v>
      </c>
      <c r="BN37" s="40">
        <f t="shared" si="30"/>
        <v>0</v>
      </c>
      <c r="BO37" s="40">
        <f t="shared" si="30"/>
        <v>0</v>
      </c>
      <c r="BP37" s="40">
        <f t="shared" si="31"/>
        <v>0</v>
      </c>
      <c r="BQ37" s="40">
        <f t="shared" si="32"/>
        <v>0</v>
      </c>
      <c r="BR37" s="40">
        <f t="shared" si="32"/>
        <v>0</v>
      </c>
      <c r="BS37" s="40">
        <f t="shared" si="32"/>
        <v>0</v>
      </c>
      <c r="BT37" s="40">
        <f t="shared" si="33"/>
        <v>0</v>
      </c>
      <c r="BU37" s="40">
        <f t="shared" si="34"/>
        <v>101</v>
      </c>
    </row>
    <row r="38" spans="1:73" ht="17.25" customHeight="1" x14ac:dyDescent="0.25">
      <c r="A38" s="41">
        <v>7</v>
      </c>
      <c r="B38" s="42" t="s">
        <v>54</v>
      </c>
      <c r="C38" s="43">
        <v>37</v>
      </c>
      <c r="D38" s="11">
        <v>41</v>
      </c>
      <c r="E38" s="13">
        <f t="shared" si="7"/>
        <v>78</v>
      </c>
      <c r="F38" s="11">
        <v>5</v>
      </c>
      <c r="G38" s="11">
        <v>2</v>
      </c>
      <c r="H38" s="14">
        <f t="shared" si="8"/>
        <v>7</v>
      </c>
      <c r="I38" s="11">
        <v>2</v>
      </c>
      <c r="J38" s="11">
        <v>1</v>
      </c>
      <c r="K38" s="15">
        <f t="shared" si="9"/>
        <v>3</v>
      </c>
      <c r="L38" s="11">
        <v>30</v>
      </c>
      <c r="M38" s="11">
        <v>38</v>
      </c>
      <c r="N38" s="16">
        <f t="shared" si="10"/>
        <v>68</v>
      </c>
      <c r="O38" s="11">
        <v>0</v>
      </c>
      <c r="P38" s="11">
        <v>0</v>
      </c>
      <c r="Q38" s="17">
        <v>0</v>
      </c>
      <c r="R38" s="11">
        <v>0</v>
      </c>
      <c r="S38" s="11">
        <v>0</v>
      </c>
      <c r="T38" s="20">
        <v>0</v>
      </c>
      <c r="U38" s="11">
        <v>0</v>
      </c>
      <c r="V38" s="11">
        <v>0</v>
      </c>
      <c r="W38" s="14">
        <f t="shared" si="13"/>
        <v>0</v>
      </c>
      <c r="X38" s="11">
        <v>0</v>
      </c>
      <c r="Y38" s="11">
        <v>0</v>
      </c>
      <c r="Z38" s="15">
        <f t="shared" si="14"/>
        <v>0</v>
      </c>
      <c r="AA38" s="11">
        <v>0</v>
      </c>
      <c r="AB38" s="11">
        <v>0</v>
      </c>
      <c r="AC38" s="16">
        <f t="shared" si="15"/>
        <v>0</v>
      </c>
      <c r="AD38" s="11">
        <v>0</v>
      </c>
      <c r="AE38" s="11">
        <v>0</v>
      </c>
      <c r="AF38" s="17">
        <v>0</v>
      </c>
      <c r="AG38" s="11">
        <v>0</v>
      </c>
      <c r="AH38" s="11">
        <v>0</v>
      </c>
      <c r="AI38" s="20">
        <v>0</v>
      </c>
      <c r="AJ38" s="11">
        <v>0</v>
      </c>
      <c r="AK38" s="11">
        <v>0</v>
      </c>
      <c r="AL38" s="14">
        <f t="shared" si="18"/>
        <v>0</v>
      </c>
      <c r="AM38" s="11">
        <v>0</v>
      </c>
      <c r="AN38" s="11">
        <v>0</v>
      </c>
      <c r="AO38" s="15">
        <f t="shared" si="19"/>
        <v>0</v>
      </c>
      <c r="AP38" s="11">
        <v>0</v>
      </c>
      <c r="AQ38" s="11">
        <v>0</v>
      </c>
      <c r="AR38" s="16">
        <f t="shared" si="20"/>
        <v>0</v>
      </c>
      <c r="AS38" s="11">
        <v>0</v>
      </c>
      <c r="AT38" s="11">
        <v>0</v>
      </c>
      <c r="AU38" s="17">
        <v>0</v>
      </c>
      <c r="AV38" s="11">
        <v>0</v>
      </c>
      <c r="AW38" s="11">
        <v>0</v>
      </c>
      <c r="AX38" s="20">
        <v>0</v>
      </c>
      <c r="AZ38" s="44">
        <f t="shared" si="23"/>
        <v>78</v>
      </c>
      <c r="BA38" s="40">
        <f t="shared" si="24"/>
        <v>5</v>
      </c>
      <c r="BB38" s="40">
        <f t="shared" si="24"/>
        <v>2</v>
      </c>
      <c r="BC38" s="40">
        <f t="shared" si="24"/>
        <v>7</v>
      </c>
      <c r="BD38" s="40">
        <f t="shared" si="25"/>
        <v>9</v>
      </c>
      <c r="BE38" s="40">
        <f t="shared" si="26"/>
        <v>2</v>
      </c>
      <c r="BF38" s="40">
        <f t="shared" si="26"/>
        <v>1</v>
      </c>
      <c r="BG38" s="40">
        <f t="shared" si="26"/>
        <v>3</v>
      </c>
      <c r="BH38" s="40">
        <f t="shared" si="27"/>
        <v>4</v>
      </c>
      <c r="BI38" s="40">
        <f t="shared" si="28"/>
        <v>30</v>
      </c>
      <c r="BJ38" s="40">
        <f t="shared" si="28"/>
        <v>38</v>
      </c>
      <c r="BK38" s="40">
        <f t="shared" si="28"/>
        <v>68</v>
      </c>
      <c r="BL38" s="40">
        <f t="shared" si="29"/>
        <v>87</v>
      </c>
      <c r="BM38" s="40">
        <f t="shared" si="30"/>
        <v>0</v>
      </c>
      <c r="BN38" s="40">
        <f t="shared" si="30"/>
        <v>0</v>
      </c>
      <c r="BO38" s="40">
        <f t="shared" si="30"/>
        <v>0</v>
      </c>
      <c r="BP38" s="40">
        <f t="shared" si="31"/>
        <v>0</v>
      </c>
      <c r="BQ38" s="40">
        <f t="shared" si="32"/>
        <v>0</v>
      </c>
      <c r="BR38" s="40">
        <f t="shared" si="32"/>
        <v>0</v>
      </c>
      <c r="BS38" s="40">
        <f t="shared" si="32"/>
        <v>0</v>
      </c>
      <c r="BT38" s="40">
        <f t="shared" si="33"/>
        <v>0</v>
      </c>
      <c r="BU38" s="40">
        <f t="shared" si="34"/>
        <v>100</v>
      </c>
    </row>
    <row r="39" spans="1:73" ht="17.25" customHeight="1" x14ac:dyDescent="0.25">
      <c r="A39" s="41">
        <v>8</v>
      </c>
      <c r="B39" s="42" t="s">
        <v>55</v>
      </c>
      <c r="C39" s="43">
        <v>95</v>
      </c>
      <c r="D39" s="11">
        <v>79</v>
      </c>
      <c r="E39" s="13">
        <f t="shared" si="7"/>
        <v>174</v>
      </c>
      <c r="F39" s="11">
        <v>1</v>
      </c>
      <c r="G39" s="11">
        <v>3</v>
      </c>
      <c r="H39" s="14">
        <f t="shared" si="8"/>
        <v>4</v>
      </c>
      <c r="I39" s="11">
        <v>2</v>
      </c>
      <c r="J39" s="11">
        <v>1</v>
      </c>
      <c r="K39" s="15">
        <f t="shared" si="9"/>
        <v>3</v>
      </c>
      <c r="L39" s="11">
        <v>29</v>
      </c>
      <c r="M39" s="11">
        <v>35</v>
      </c>
      <c r="N39" s="16">
        <f t="shared" si="10"/>
        <v>64</v>
      </c>
      <c r="O39" s="11">
        <v>1</v>
      </c>
      <c r="P39" s="11">
        <v>4</v>
      </c>
      <c r="Q39" s="17">
        <f t="shared" ref="Q39:Q40" si="38">SUM(O39:P39)</f>
        <v>5</v>
      </c>
      <c r="R39" s="11">
        <v>0</v>
      </c>
      <c r="S39" s="11">
        <v>0</v>
      </c>
      <c r="T39" s="20">
        <f t="shared" ref="T39" si="39">SUM(R39:S39)</f>
        <v>0</v>
      </c>
      <c r="U39" s="11">
        <v>4</v>
      </c>
      <c r="V39" s="11">
        <v>0</v>
      </c>
      <c r="W39" s="14">
        <f t="shared" si="13"/>
        <v>4</v>
      </c>
      <c r="X39" s="11">
        <v>8</v>
      </c>
      <c r="Y39" s="11">
        <v>2</v>
      </c>
      <c r="Z39" s="15">
        <f t="shared" si="14"/>
        <v>10</v>
      </c>
      <c r="AA39" s="11">
        <v>50</v>
      </c>
      <c r="AB39" s="11">
        <v>31</v>
      </c>
      <c r="AC39" s="16">
        <f t="shared" si="15"/>
        <v>81</v>
      </c>
      <c r="AD39" s="11">
        <v>0</v>
      </c>
      <c r="AE39" s="11">
        <v>0</v>
      </c>
      <c r="AF39" s="17">
        <f t="shared" ref="AF39:AF40" si="40">SUM(AD39:AE39)</f>
        <v>0</v>
      </c>
      <c r="AG39" s="11">
        <v>0</v>
      </c>
      <c r="AH39" s="11">
        <v>0</v>
      </c>
      <c r="AI39" s="20">
        <f t="shared" ref="AI39" si="41">SUM(AG39:AH39)</f>
        <v>0</v>
      </c>
      <c r="AJ39" s="11">
        <v>0</v>
      </c>
      <c r="AK39" s="11">
        <v>1</v>
      </c>
      <c r="AL39" s="14">
        <f t="shared" si="18"/>
        <v>1</v>
      </c>
      <c r="AM39" s="11">
        <v>0</v>
      </c>
      <c r="AN39" s="11">
        <v>0</v>
      </c>
      <c r="AO39" s="15">
        <f t="shared" si="19"/>
        <v>0</v>
      </c>
      <c r="AP39" s="11">
        <v>0</v>
      </c>
      <c r="AQ39" s="11">
        <v>2</v>
      </c>
      <c r="AR39" s="16">
        <f t="shared" si="20"/>
        <v>2</v>
      </c>
      <c r="AS39" s="11">
        <v>0</v>
      </c>
      <c r="AT39" s="11">
        <v>0</v>
      </c>
      <c r="AU39" s="17">
        <f t="shared" ref="AU39:AU40" si="42">SUM(AS39:AT39)</f>
        <v>0</v>
      </c>
      <c r="AV39" s="11">
        <v>0</v>
      </c>
      <c r="AW39" s="11">
        <v>0</v>
      </c>
      <c r="AX39" s="20">
        <f t="shared" ref="AX39" si="43">SUM(AV39:AW39)</f>
        <v>0</v>
      </c>
      <c r="AZ39" s="44">
        <f t="shared" si="23"/>
        <v>174</v>
      </c>
      <c r="BA39" s="40">
        <f t="shared" si="24"/>
        <v>5</v>
      </c>
      <c r="BB39" s="40">
        <f t="shared" si="24"/>
        <v>4</v>
      </c>
      <c r="BC39" s="40">
        <f t="shared" si="24"/>
        <v>9</v>
      </c>
      <c r="BD39" s="40">
        <f t="shared" si="25"/>
        <v>5</v>
      </c>
      <c r="BE39" s="40">
        <f t="shared" si="26"/>
        <v>10</v>
      </c>
      <c r="BF39" s="40">
        <f t="shared" si="26"/>
        <v>3</v>
      </c>
      <c r="BG39" s="40">
        <f t="shared" si="26"/>
        <v>13</v>
      </c>
      <c r="BH39" s="40">
        <f t="shared" si="27"/>
        <v>7</v>
      </c>
      <c r="BI39" s="40">
        <f t="shared" si="28"/>
        <v>79</v>
      </c>
      <c r="BJ39" s="40">
        <f t="shared" si="28"/>
        <v>68</v>
      </c>
      <c r="BK39" s="40">
        <f t="shared" si="28"/>
        <v>147</v>
      </c>
      <c r="BL39" s="40">
        <f t="shared" si="29"/>
        <v>84</v>
      </c>
      <c r="BM39" s="40">
        <f t="shared" si="30"/>
        <v>1</v>
      </c>
      <c r="BN39" s="40">
        <f t="shared" si="30"/>
        <v>4</v>
      </c>
      <c r="BO39" s="40">
        <f t="shared" si="30"/>
        <v>5</v>
      </c>
      <c r="BP39" s="40">
        <f t="shared" si="31"/>
        <v>3</v>
      </c>
      <c r="BQ39" s="40">
        <f t="shared" si="32"/>
        <v>0</v>
      </c>
      <c r="BR39" s="40">
        <f t="shared" si="32"/>
        <v>0</v>
      </c>
      <c r="BS39" s="40">
        <f t="shared" si="32"/>
        <v>0</v>
      </c>
      <c r="BT39" s="40">
        <f t="shared" si="33"/>
        <v>0</v>
      </c>
      <c r="BU39" s="40">
        <f t="shared" si="34"/>
        <v>99</v>
      </c>
    </row>
    <row r="40" spans="1:73" ht="17.25" customHeight="1" x14ac:dyDescent="0.25">
      <c r="A40" s="45">
        <v>9</v>
      </c>
      <c r="B40" s="42" t="s">
        <v>56</v>
      </c>
      <c r="C40" s="43">
        <v>38</v>
      </c>
      <c r="D40" s="11">
        <v>46</v>
      </c>
      <c r="E40" s="13">
        <f t="shared" si="7"/>
        <v>84</v>
      </c>
      <c r="F40" s="11">
        <v>0</v>
      </c>
      <c r="G40" s="11">
        <v>0</v>
      </c>
      <c r="H40" s="14">
        <f t="shared" si="8"/>
        <v>0</v>
      </c>
      <c r="I40" s="11">
        <v>1</v>
      </c>
      <c r="J40" s="11">
        <v>1</v>
      </c>
      <c r="K40" s="15">
        <f t="shared" si="9"/>
        <v>2</v>
      </c>
      <c r="L40" s="11">
        <v>13</v>
      </c>
      <c r="M40" s="11">
        <v>21</v>
      </c>
      <c r="N40" s="16">
        <f t="shared" si="10"/>
        <v>34</v>
      </c>
      <c r="O40" s="11">
        <v>0</v>
      </c>
      <c r="P40" s="11">
        <v>0</v>
      </c>
      <c r="Q40" s="17">
        <f t="shared" si="38"/>
        <v>0</v>
      </c>
      <c r="R40" s="11">
        <v>0</v>
      </c>
      <c r="S40" s="11">
        <v>0</v>
      </c>
      <c r="T40" s="20">
        <v>0</v>
      </c>
      <c r="U40" s="11">
        <v>0</v>
      </c>
      <c r="V40" s="11">
        <v>0</v>
      </c>
      <c r="W40" s="14">
        <f t="shared" si="13"/>
        <v>0</v>
      </c>
      <c r="X40" s="11">
        <v>8</v>
      </c>
      <c r="Y40" s="11">
        <v>4</v>
      </c>
      <c r="Z40" s="15">
        <f t="shared" si="14"/>
        <v>12</v>
      </c>
      <c r="AA40" s="11">
        <v>13</v>
      </c>
      <c r="AB40" s="11">
        <v>18</v>
      </c>
      <c r="AC40" s="16">
        <f t="shared" si="15"/>
        <v>31</v>
      </c>
      <c r="AD40" s="11">
        <v>0</v>
      </c>
      <c r="AE40" s="11">
        <v>0</v>
      </c>
      <c r="AF40" s="17">
        <f t="shared" si="40"/>
        <v>0</v>
      </c>
      <c r="AG40" s="11">
        <v>0</v>
      </c>
      <c r="AH40" s="11">
        <v>0</v>
      </c>
      <c r="AI40" s="20">
        <v>0</v>
      </c>
      <c r="AJ40" s="11">
        <v>0</v>
      </c>
      <c r="AK40" s="11">
        <v>0</v>
      </c>
      <c r="AL40" s="14">
        <f t="shared" si="18"/>
        <v>0</v>
      </c>
      <c r="AM40" s="11">
        <v>0</v>
      </c>
      <c r="AN40" s="11">
        <v>2</v>
      </c>
      <c r="AO40" s="15">
        <f t="shared" si="19"/>
        <v>2</v>
      </c>
      <c r="AP40" s="11">
        <v>3</v>
      </c>
      <c r="AQ40" s="11">
        <v>0</v>
      </c>
      <c r="AR40" s="16">
        <f t="shared" si="20"/>
        <v>3</v>
      </c>
      <c r="AS40" s="11">
        <v>0</v>
      </c>
      <c r="AT40" s="11">
        <v>0</v>
      </c>
      <c r="AU40" s="17">
        <f t="shared" si="42"/>
        <v>0</v>
      </c>
      <c r="AV40" s="11">
        <v>0</v>
      </c>
      <c r="AW40" s="11">
        <v>0</v>
      </c>
      <c r="AX40" s="20">
        <v>0</v>
      </c>
      <c r="AZ40" s="44">
        <f t="shared" si="23"/>
        <v>84</v>
      </c>
      <c r="BA40" s="40">
        <f t="shared" si="24"/>
        <v>0</v>
      </c>
      <c r="BB40" s="40">
        <f t="shared" si="24"/>
        <v>0</v>
      </c>
      <c r="BC40" s="40">
        <f t="shared" si="24"/>
        <v>0</v>
      </c>
      <c r="BD40" s="40">
        <f t="shared" si="25"/>
        <v>0</v>
      </c>
      <c r="BE40" s="40">
        <f t="shared" si="26"/>
        <v>9</v>
      </c>
      <c r="BF40" s="40">
        <f t="shared" si="26"/>
        <v>7</v>
      </c>
      <c r="BG40" s="40">
        <f t="shared" si="26"/>
        <v>16</v>
      </c>
      <c r="BH40" s="40">
        <f t="shared" si="27"/>
        <v>19</v>
      </c>
      <c r="BI40" s="40">
        <f t="shared" si="28"/>
        <v>29</v>
      </c>
      <c r="BJ40" s="40">
        <f t="shared" si="28"/>
        <v>39</v>
      </c>
      <c r="BK40" s="40">
        <f t="shared" si="28"/>
        <v>68</v>
      </c>
      <c r="BL40" s="40">
        <f t="shared" si="29"/>
        <v>81</v>
      </c>
      <c r="BM40" s="40">
        <f t="shared" si="30"/>
        <v>0</v>
      </c>
      <c r="BN40" s="40">
        <f t="shared" si="30"/>
        <v>0</v>
      </c>
      <c r="BO40" s="40">
        <f t="shared" si="30"/>
        <v>0</v>
      </c>
      <c r="BP40" s="40">
        <f t="shared" si="31"/>
        <v>0</v>
      </c>
      <c r="BQ40" s="40">
        <f t="shared" si="32"/>
        <v>0</v>
      </c>
      <c r="BR40" s="40">
        <f t="shared" si="32"/>
        <v>0</v>
      </c>
      <c r="BS40" s="40">
        <f t="shared" si="32"/>
        <v>0</v>
      </c>
      <c r="BT40" s="40">
        <f t="shared" si="33"/>
        <v>0</v>
      </c>
      <c r="BU40" s="40">
        <f t="shared" si="34"/>
        <v>100</v>
      </c>
    </row>
    <row r="41" spans="1:73" ht="17.25" customHeight="1" x14ac:dyDescent="0.25">
      <c r="A41" s="45">
        <v>10</v>
      </c>
      <c r="B41" s="42" t="s">
        <v>57</v>
      </c>
      <c r="C41" s="43">
        <v>54</v>
      </c>
      <c r="D41" s="11">
        <v>64</v>
      </c>
      <c r="E41" s="13">
        <f t="shared" si="7"/>
        <v>118</v>
      </c>
      <c r="F41" s="11">
        <v>0</v>
      </c>
      <c r="G41" s="11">
        <v>0</v>
      </c>
      <c r="H41" s="14">
        <v>0</v>
      </c>
      <c r="I41" s="11">
        <v>4</v>
      </c>
      <c r="J41" s="11">
        <v>4</v>
      </c>
      <c r="K41" s="15">
        <f t="shared" si="9"/>
        <v>8</v>
      </c>
      <c r="L41" s="11">
        <v>17</v>
      </c>
      <c r="M41" s="11">
        <v>19</v>
      </c>
      <c r="N41" s="16">
        <v>36</v>
      </c>
      <c r="O41" s="11">
        <v>0</v>
      </c>
      <c r="P41" s="11">
        <v>0</v>
      </c>
      <c r="Q41" s="17">
        <v>0</v>
      </c>
      <c r="R41" s="11">
        <v>0</v>
      </c>
      <c r="S41" s="11">
        <v>0</v>
      </c>
      <c r="T41" s="20">
        <f>SUM(R41:S41)</f>
        <v>0</v>
      </c>
      <c r="U41" s="11">
        <v>0</v>
      </c>
      <c r="V41" s="11">
        <v>0</v>
      </c>
      <c r="W41" s="14">
        <f t="shared" si="13"/>
        <v>0</v>
      </c>
      <c r="X41" s="11">
        <v>6</v>
      </c>
      <c r="Y41" s="11">
        <v>1</v>
      </c>
      <c r="Z41" s="15">
        <f t="shared" si="14"/>
        <v>7</v>
      </c>
      <c r="AA41" s="11">
        <v>24</v>
      </c>
      <c r="AB41" s="11">
        <v>35</v>
      </c>
      <c r="AC41" s="16">
        <f t="shared" si="15"/>
        <v>59</v>
      </c>
      <c r="AD41" s="11">
        <v>0</v>
      </c>
      <c r="AE41" s="11">
        <v>0</v>
      </c>
      <c r="AF41" s="17">
        <v>0</v>
      </c>
      <c r="AG41" s="11">
        <v>0</v>
      </c>
      <c r="AH41" s="11">
        <v>0</v>
      </c>
      <c r="AI41" s="20">
        <f>SUM(AG41:AH41)</f>
        <v>0</v>
      </c>
      <c r="AJ41" s="11">
        <v>0</v>
      </c>
      <c r="AK41" s="11">
        <v>0</v>
      </c>
      <c r="AL41" s="14">
        <f t="shared" si="18"/>
        <v>0</v>
      </c>
      <c r="AM41" s="11">
        <v>1</v>
      </c>
      <c r="AN41" s="11">
        <v>1</v>
      </c>
      <c r="AO41" s="15">
        <f t="shared" si="19"/>
        <v>2</v>
      </c>
      <c r="AP41" s="11">
        <v>2</v>
      </c>
      <c r="AQ41" s="11">
        <v>4</v>
      </c>
      <c r="AR41" s="16">
        <f t="shared" si="20"/>
        <v>6</v>
      </c>
      <c r="AS41" s="11">
        <v>0</v>
      </c>
      <c r="AT41" s="11">
        <v>0</v>
      </c>
      <c r="AU41" s="17">
        <v>0</v>
      </c>
      <c r="AV41" s="11">
        <v>0</v>
      </c>
      <c r="AW41" s="11">
        <v>0</v>
      </c>
      <c r="AX41" s="20">
        <f>SUM(AV41:AW41)</f>
        <v>0</v>
      </c>
      <c r="AZ41" s="44">
        <f t="shared" si="23"/>
        <v>118</v>
      </c>
      <c r="BA41" s="40">
        <f t="shared" si="24"/>
        <v>0</v>
      </c>
      <c r="BB41" s="40">
        <f t="shared" si="24"/>
        <v>0</v>
      </c>
      <c r="BC41" s="40">
        <f t="shared" si="24"/>
        <v>0</v>
      </c>
      <c r="BD41" s="40">
        <f t="shared" si="25"/>
        <v>0</v>
      </c>
      <c r="BE41" s="40">
        <f t="shared" si="26"/>
        <v>11</v>
      </c>
      <c r="BF41" s="40">
        <f t="shared" si="26"/>
        <v>6</v>
      </c>
      <c r="BG41" s="40">
        <f t="shared" si="26"/>
        <v>17</v>
      </c>
      <c r="BH41" s="40">
        <f t="shared" si="27"/>
        <v>14</v>
      </c>
      <c r="BI41" s="40">
        <f t="shared" si="28"/>
        <v>43</v>
      </c>
      <c r="BJ41" s="40">
        <f t="shared" si="28"/>
        <v>58</v>
      </c>
      <c r="BK41" s="40">
        <f t="shared" si="28"/>
        <v>101</v>
      </c>
      <c r="BL41" s="40">
        <f t="shared" si="29"/>
        <v>86</v>
      </c>
      <c r="BM41" s="40">
        <f t="shared" si="30"/>
        <v>0</v>
      </c>
      <c r="BN41" s="40">
        <f t="shared" si="30"/>
        <v>0</v>
      </c>
      <c r="BO41" s="40">
        <f t="shared" si="30"/>
        <v>0</v>
      </c>
      <c r="BP41" s="40">
        <f t="shared" si="31"/>
        <v>0</v>
      </c>
      <c r="BQ41" s="40">
        <f t="shared" si="32"/>
        <v>0</v>
      </c>
      <c r="BR41" s="40">
        <f t="shared" si="32"/>
        <v>0</v>
      </c>
      <c r="BS41" s="40">
        <f t="shared" si="32"/>
        <v>0</v>
      </c>
      <c r="BT41" s="40">
        <f t="shared" si="33"/>
        <v>0</v>
      </c>
      <c r="BU41" s="40">
        <f t="shared" si="34"/>
        <v>100</v>
      </c>
    </row>
    <row r="42" spans="1:73" ht="17.25" customHeight="1" x14ac:dyDescent="0.25">
      <c r="A42" s="45">
        <v>11</v>
      </c>
      <c r="B42" s="42" t="s">
        <v>58</v>
      </c>
      <c r="C42" s="43">
        <v>65</v>
      </c>
      <c r="D42" s="11">
        <v>70</v>
      </c>
      <c r="E42" s="13">
        <f t="shared" si="7"/>
        <v>135</v>
      </c>
      <c r="F42" s="11">
        <v>1</v>
      </c>
      <c r="G42" s="11">
        <v>0</v>
      </c>
      <c r="H42" s="14">
        <f t="shared" si="8"/>
        <v>1</v>
      </c>
      <c r="I42" s="11">
        <v>2</v>
      </c>
      <c r="J42" s="11">
        <v>3</v>
      </c>
      <c r="K42" s="15">
        <f t="shared" si="9"/>
        <v>5</v>
      </c>
      <c r="L42" s="11">
        <v>21</v>
      </c>
      <c r="M42" s="11">
        <v>28</v>
      </c>
      <c r="N42" s="16">
        <f t="shared" si="10"/>
        <v>49</v>
      </c>
      <c r="O42" s="11">
        <v>0</v>
      </c>
      <c r="P42" s="11">
        <v>0</v>
      </c>
      <c r="Q42" s="17">
        <v>0</v>
      </c>
      <c r="R42" s="11">
        <v>0</v>
      </c>
      <c r="S42" s="11">
        <v>0</v>
      </c>
      <c r="T42" s="20">
        <f t="shared" ref="T42:T46" si="44">SUM(R42:S42)</f>
        <v>0</v>
      </c>
      <c r="U42" s="11">
        <v>1</v>
      </c>
      <c r="V42" s="11">
        <v>0</v>
      </c>
      <c r="W42" s="14">
        <f t="shared" si="13"/>
        <v>1</v>
      </c>
      <c r="X42" s="11">
        <v>4</v>
      </c>
      <c r="Y42" s="11">
        <v>3</v>
      </c>
      <c r="Z42" s="15">
        <f t="shared" si="14"/>
        <v>7</v>
      </c>
      <c r="AA42" s="11">
        <v>31</v>
      </c>
      <c r="AB42" s="11">
        <v>30</v>
      </c>
      <c r="AC42" s="16">
        <f t="shared" si="15"/>
        <v>61</v>
      </c>
      <c r="AD42" s="11">
        <v>0</v>
      </c>
      <c r="AE42" s="11">
        <v>0</v>
      </c>
      <c r="AF42" s="17">
        <f t="shared" ref="AF42:AF46" si="45">SUM(AD42:AE42)</f>
        <v>0</v>
      </c>
      <c r="AG42" s="11">
        <v>0</v>
      </c>
      <c r="AH42" s="11">
        <v>0</v>
      </c>
      <c r="AI42" s="20">
        <f t="shared" ref="AI42:AI46" si="46">SUM(AG42:AH42)</f>
        <v>0</v>
      </c>
      <c r="AJ42" s="11">
        <v>0</v>
      </c>
      <c r="AK42" s="11">
        <v>1</v>
      </c>
      <c r="AL42" s="14">
        <f t="shared" si="18"/>
        <v>1</v>
      </c>
      <c r="AM42" s="11">
        <v>0</v>
      </c>
      <c r="AN42" s="11">
        <v>0</v>
      </c>
      <c r="AO42" s="15">
        <f t="shared" si="19"/>
        <v>0</v>
      </c>
      <c r="AP42" s="11">
        <v>5</v>
      </c>
      <c r="AQ42" s="11">
        <v>5</v>
      </c>
      <c r="AR42" s="16">
        <f t="shared" si="20"/>
        <v>10</v>
      </c>
      <c r="AS42" s="11">
        <v>0</v>
      </c>
      <c r="AT42" s="11">
        <v>0</v>
      </c>
      <c r="AU42" s="17">
        <f t="shared" ref="AU42:AU46" si="47">SUM(AS42:AT42)</f>
        <v>0</v>
      </c>
      <c r="AV42" s="11">
        <v>0</v>
      </c>
      <c r="AW42" s="11">
        <v>0</v>
      </c>
      <c r="AX42" s="20">
        <f t="shared" ref="AX42:AX46" si="48">SUM(AV42:AW42)</f>
        <v>0</v>
      </c>
      <c r="AZ42" s="44">
        <f t="shared" si="23"/>
        <v>135</v>
      </c>
      <c r="BA42" s="40">
        <f t="shared" si="24"/>
        <v>2</v>
      </c>
      <c r="BB42" s="40">
        <f t="shared" si="24"/>
        <v>1</v>
      </c>
      <c r="BC42" s="40">
        <f t="shared" si="24"/>
        <v>3</v>
      </c>
      <c r="BD42" s="40">
        <f t="shared" si="25"/>
        <v>2</v>
      </c>
      <c r="BE42" s="40">
        <f t="shared" si="26"/>
        <v>6</v>
      </c>
      <c r="BF42" s="40">
        <f t="shared" si="26"/>
        <v>6</v>
      </c>
      <c r="BG42" s="40">
        <f t="shared" si="26"/>
        <v>12</v>
      </c>
      <c r="BH42" s="40">
        <f t="shared" si="27"/>
        <v>9</v>
      </c>
      <c r="BI42" s="40">
        <f t="shared" si="28"/>
        <v>57</v>
      </c>
      <c r="BJ42" s="40">
        <f t="shared" si="28"/>
        <v>63</v>
      </c>
      <c r="BK42" s="40">
        <f t="shared" si="28"/>
        <v>120</v>
      </c>
      <c r="BL42" s="40">
        <f t="shared" si="29"/>
        <v>89</v>
      </c>
      <c r="BM42" s="40">
        <f t="shared" si="30"/>
        <v>0</v>
      </c>
      <c r="BN42" s="40">
        <f t="shared" si="30"/>
        <v>0</v>
      </c>
      <c r="BO42" s="40">
        <f t="shared" si="30"/>
        <v>0</v>
      </c>
      <c r="BP42" s="40">
        <f t="shared" si="31"/>
        <v>0</v>
      </c>
      <c r="BQ42" s="40">
        <f t="shared" si="32"/>
        <v>0</v>
      </c>
      <c r="BR42" s="40">
        <f t="shared" si="32"/>
        <v>0</v>
      </c>
      <c r="BS42" s="40">
        <f t="shared" si="32"/>
        <v>0</v>
      </c>
      <c r="BT42" s="40">
        <f t="shared" si="33"/>
        <v>0</v>
      </c>
      <c r="BU42" s="40">
        <f t="shared" si="34"/>
        <v>100</v>
      </c>
    </row>
    <row r="43" spans="1:73" ht="17.25" customHeight="1" x14ac:dyDescent="0.25">
      <c r="A43" s="45">
        <v>12</v>
      </c>
      <c r="B43" s="42" t="s">
        <v>59</v>
      </c>
      <c r="C43" s="43">
        <v>97</v>
      </c>
      <c r="D43" s="11">
        <v>110</v>
      </c>
      <c r="E43" s="13">
        <f t="shared" si="7"/>
        <v>207</v>
      </c>
      <c r="F43" s="11">
        <v>4</v>
      </c>
      <c r="G43" s="11">
        <v>4</v>
      </c>
      <c r="H43" s="14">
        <f>SUM(F43:G43)</f>
        <v>8</v>
      </c>
      <c r="I43" s="11">
        <v>4</v>
      </c>
      <c r="J43" s="11">
        <v>10</v>
      </c>
      <c r="K43" s="15">
        <f t="shared" si="9"/>
        <v>14</v>
      </c>
      <c r="L43" s="11">
        <v>27</v>
      </c>
      <c r="M43" s="11">
        <v>41</v>
      </c>
      <c r="N43" s="16">
        <f t="shared" si="10"/>
        <v>68</v>
      </c>
      <c r="O43" s="11">
        <v>0</v>
      </c>
      <c r="P43" s="11">
        <v>0</v>
      </c>
      <c r="Q43" s="17">
        <f t="shared" ref="Q43:Q46" si="49">SUM(O43:P43)</f>
        <v>0</v>
      </c>
      <c r="R43" s="11">
        <v>0</v>
      </c>
      <c r="S43" s="11">
        <v>0</v>
      </c>
      <c r="T43" s="20">
        <f t="shared" si="44"/>
        <v>0</v>
      </c>
      <c r="U43" s="11">
        <v>2</v>
      </c>
      <c r="V43" s="11">
        <v>0</v>
      </c>
      <c r="W43" s="14">
        <f>SUM(U43:V43)</f>
        <v>2</v>
      </c>
      <c r="X43" s="11">
        <v>8</v>
      </c>
      <c r="Y43" s="11">
        <v>8</v>
      </c>
      <c r="Z43" s="15">
        <f t="shared" si="14"/>
        <v>16</v>
      </c>
      <c r="AA43" s="11">
        <v>34</v>
      </c>
      <c r="AB43" s="11">
        <v>39</v>
      </c>
      <c r="AC43" s="16">
        <f t="shared" si="15"/>
        <v>73</v>
      </c>
      <c r="AD43" s="11">
        <v>0</v>
      </c>
      <c r="AE43" s="11">
        <v>0</v>
      </c>
      <c r="AF43" s="17">
        <f t="shared" si="45"/>
        <v>0</v>
      </c>
      <c r="AG43" s="11">
        <v>0</v>
      </c>
      <c r="AH43" s="11">
        <v>0</v>
      </c>
      <c r="AI43" s="20">
        <f t="shared" si="46"/>
        <v>0</v>
      </c>
      <c r="AJ43" s="11">
        <v>2</v>
      </c>
      <c r="AK43" s="11">
        <v>1</v>
      </c>
      <c r="AL43" s="14">
        <f>SUM(AJ43:AK43)</f>
        <v>3</v>
      </c>
      <c r="AM43" s="11">
        <v>1</v>
      </c>
      <c r="AN43" s="11">
        <v>1</v>
      </c>
      <c r="AO43" s="15">
        <f t="shared" si="19"/>
        <v>2</v>
      </c>
      <c r="AP43" s="11">
        <v>15</v>
      </c>
      <c r="AQ43" s="11">
        <v>6</v>
      </c>
      <c r="AR43" s="16">
        <f t="shared" si="20"/>
        <v>21</v>
      </c>
      <c r="AS43" s="11">
        <v>0</v>
      </c>
      <c r="AT43" s="11">
        <v>0</v>
      </c>
      <c r="AU43" s="17">
        <f t="shared" si="47"/>
        <v>0</v>
      </c>
      <c r="AV43" s="11">
        <v>0</v>
      </c>
      <c r="AW43" s="11">
        <v>0</v>
      </c>
      <c r="AX43" s="20">
        <f t="shared" si="48"/>
        <v>0</v>
      </c>
      <c r="AZ43" s="44">
        <f t="shared" si="23"/>
        <v>207</v>
      </c>
      <c r="BA43" s="40">
        <f t="shared" si="24"/>
        <v>8</v>
      </c>
      <c r="BB43" s="40">
        <f t="shared" si="24"/>
        <v>5</v>
      </c>
      <c r="BC43" s="40">
        <f t="shared" si="24"/>
        <v>13</v>
      </c>
      <c r="BD43" s="40">
        <f t="shared" si="25"/>
        <v>6</v>
      </c>
      <c r="BE43" s="40">
        <f t="shared" si="26"/>
        <v>13</v>
      </c>
      <c r="BF43" s="40">
        <f t="shared" si="26"/>
        <v>19</v>
      </c>
      <c r="BG43" s="40">
        <f t="shared" si="26"/>
        <v>32</v>
      </c>
      <c r="BH43" s="40">
        <f t="shared" si="27"/>
        <v>15</v>
      </c>
      <c r="BI43" s="40">
        <f t="shared" si="28"/>
        <v>76</v>
      </c>
      <c r="BJ43" s="40">
        <f t="shared" si="28"/>
        <v>86</v>
      </c>
      <c r="BK43" s="40">
        <f t="shared" si="28"/>
        <v>162</v>
      </c>
      <c r="BL43" s="40">
        <f t="shared" si="29"/>
        <v>78</v>
      </c>
      <c r="BM43" s="40">
        <f t="shared" si="30"/>
        <v>0</v>
      </c>
      <c r="BN43" s="40">
        <f t="shared" si="30"/>
        <v>0</v>
      </c>
      <c r="BO43" s="40">
        <f t="shared" si="30"/>
        <v>0</v>
      </c>
      <c r="BP43" s="40">
        <f t="shared" si="31"/>
        <v>0</v>
      </c>
      <c r="BQ43" s="40">
        <f t="shared" si="32"/>
        <v>0</v>
      </c>
      <c r="BR43" s="40">
        <f t="shared" si="32"/>
        <v>0</v>
      </c>
      <c r="BS43" s="40">
        <f t="shared" si="32"/>
        <v>0</v>
      </c>
      <c r="BT43" s="40">
        <f t="shared" si="33"/>
        <v>0</v>
      </c>
      <c r="BU43" s="40">
        <f t="shared" si="34"/>
        <v>99</v>
      </c>
    </row>
    <row r="44" spans="1:73" ht="17.25" customHeight="1" x14ac:dyDescent="0.25">
      <c r="A44" s="45">
        <v>13</v>
      </c>
      <c r="B44" s="42" t="s">
        <v>60</v>
      </c>
      <c r="C44" s="43">
        <v>111</v>
      </c>
      <c r="D44" s="11">
        <v>92</v>
      </c>
      <c r="E44" s="13">
        <f t="shared" si="7"/>
        <v>203</v>
      </c>
      <c r="F44" s="11">
        <v>9</v>
      </c>
      <c r="G44" s="11">
        <v>1</v>
      </c>
      <c r="H44" s="14">
        <f t="shared" ref="H44:H46" si="50">SUM(F44:G44)</f>
        <v>10</v>
      </c>
      <c r="I44" s="11">
        <v>10</v>
      </c>
      <c r="J44" s="11">
        <v>5</v>
      </c>
      <c r="K44" s="15">
        <f t="shared" si="9"/>
        <v>15</v>
      </c>
      <c r="L44" s="11">
        <v>26</v>
      </c>
      <c r="M44" s="11">
        <v>34</v>
      </c>
      <c r="N44" s="16">
        <f t="shared" si="10"/>
        <v>60</v>
      </c>
      <c r="O44" s="11">
        <v>0</v>
      </c>
      <c r="P44" s="11">
        <v>0</v>
      </c>
      <c r="Q44" s="17">
        <f t="shared" si="49"/>
        <v>0</v>
      </c>
      <c r="R44" s="11">
        <v>0</v>
      </c>
      <c r="S44" s="11">
        <v>0</v>
      </c>
      <c r="T44" s="20">
        <f t="shared" si="44"/>
        <v>0</v>
      </c>
      <c r="U44" s="11">
        <v>18</v>
      </c>
      <c r="V44" s="11">
        <v>13</v>
      </c>
      <c r="W44" s="14">
        <f t="shared" ref="W44:W45" si="51">SUM(U44:V44)</f>
        <v>31</v>
      </c>
      <c r="X44" s="11">
        <v>10</v>
      </c>
      <c r="Y44" s="11">
        <v>10</v>
      </c>
      <c r="Z44" s="15">
        <f t="shared" si="14"/>
        <v>20</v>
      </c>
      <c r="AA44" s="11">
        <v>30</v>
      </c>
      <c r="AB44" s="11">
        <v>23</v>
      </c>
      <c r="AC44" s="16">
        <f t="shared" si="15"/>
        <v>53</v>
      </c>
      <c r="AD44" s="11">
        <v>0</v>
      </c>
      <c r="AE44" s="11">
        <v>0</v>
      </c>
      <c r="AF44" s="17">
        <f t="shared" si="45"/>
        <v>0</v>
      </c>
      <c r="AG44" s="11">
        <v>0</v>
      </c>
      <c r="AH44" s="11">
        <v>0</v>
      </c>
      <c r="AI44" s="20">
        <f t="shared" si="46"/>
        <v>0</v>
      </c>
      <c r="AJ44" s="11">
        <v>2</v>
      </c>
      <c r="AK44" s="11">
        <v>2</v>
      </c>
      <c r="AL44" s="14">
        <f t="shared" ref="AL44:AL46" si="52">SUM(AJ44:AK44)</f>
        <v>4</v>
      </c>
      <c r="AM44" s="11">
        <v>2</v>
      </c>
      <c r="AN44" s="11">
        <v>1</v>
      </c>
      <c r="AO44" s="15">
        <f t="shared" si="19"/>
        <v>3</v>
      </c>
      <c r="AP44" s="11">
        <v>4</v>
      </c>
      <c r="AQ44" s="11">
        <v>3</v>
      </c>
      <c r="AR44" s="16">
        <f t="shared" si="20"/>
        <v>7</v>
      </c>
      <c r="AS44" s="11">
        <v>0</v>
      </c>
      <c r="AT44" s="11">
        <v>0</v>
      </c>
      <c r="AU44" s="17">
        <f t="shared" si="47"/>
        <v>0</v>
      </c>
      <c r="AV44" s="11">
        <v>0</v>
      </c>
      <c r="AW44" s="11">
        <v>0</v>
      </c>
      <c r="AX44" s="20">
        <f t="shared" si="48"/>
        <v>0</v>
      </c>
      <c r="AZ44" s="44">
        <f t="shared" si="23"/>
        <v>203</v>
      </c>
      <c r="BA44" s="40">
        <f t="shared" si="24"/>
        <v>29</v>
      </c>
      <c r="BB44" s="40">
        <f t="shared" si="24"/>
        <v>16</v>
      </c>
      <c r="BC44" s="40">
        <f t="shared" si="24"/>
        <v>45</v>
      </c>
      <c r="BD44" s="40">
        <f t="shared" si="25"/>
        <v>22</v>
      </c>
      <c r="BE44" s="40">
        <f t="shared" si="26"/>
        <v>22</v>
      </c>
      <c r="BF44" s="40">
        <f t="shared" si="26"/>
        <v>16</v>
      </c>
      <c r="BG44" s="40">
        <f t="shared" si="26"/>
        <v>38</v>
      </c>
      <c r="BH44" s="40">
        <f t="shared" si="27"/>
        <v>19</v>
      </c>
      <c r="BI44" s="40">
        <f t="shared" si="28"/>
        <v>60</v>
      </c>
      <c r="BJ44" s="40">
        <f t="shared" si="28"/>
        <v>60</v>
      </c>
      <c r="BK44" s="40">
        <f t="shared" si="28"/>
        <v>120</v>
      </c>
      <c r="BL44" s="40">
        <f t="shared" si="29"/>
        <v>59</v>
      </c>
      <c r="BM44" s="40">
        <f t="shared" si="30"/>
        <v>0</v>
      </c>
      <c r="BN44" s="40">
        <f t="shared" si="30"/>
        <v>0</v>
      </c>
      <c r="BO44" s="40">
        <f t="shared" si="30"/>
        <v>0</v>
      </c>
      <c r="BP44" s="40">
        <f t="shared" si="31"/>
        <v>0</v>
      </c>
      <c r="BQ44" s="40">
        <f t="shared" si="32"/>
        <v>0</v>
      </c>
      <c r="BR44" s="40">
        <f t="shared" si="32"/>
        <v>0</v>
      </c>
      <c r="BS44" s="40">
        <f t="shared" si="32"/>
        <v>0</v>
      </c>
      <c r="BT44" s="40">
        <f t="shared" si="33"/>
        <v>0</v>
      </c>
      <c r="BU44" s="40">
        <f t="shared" si="34"/>
        <v>100</v>
      </c>
    </row>
    <row r="45" spans="1:73" ht="17.25" customHeight="1" x14ac:dyDescent="0.25">
      <c r="A45" s="45">
        <v>14</v>
      </c>
      <c r="B45" s="42" t="s">
        <v>61</v>
      </c>
      <c r="C45" s="43">
        <v>80</v>
      </c>
      <c r="D45" s="11">
        <v>76</v>
      </c>
      <c r="E45" s="13">
        <f t="shared" si="7"/>
        <v>156</v>
      </c>
      <c r="F45" s="11">
        <v>0</v>
      </c>
      <c r="G45" s="11">
        <v>0</v>
      </c>
      <c r="H45" s="14">
        <f t="shared" si="50"/>
        <v>0</v>
      </c>
      <c r="I45" s="11">
        <v>6</v>
      </c>
      <c r="J45" s="11">
        <v>3</v>
      </c>
      <c r="K45" s="15">
        <f t="shared" si="9"/>
        <v>9</v>
      </c>
      <c r="L45" s="11">
        <v>23</v>
      </c>
      <c r="M45" s="11">
        <v>23</v>
      </c>
      <c r="N45" s="16">
        <f>SUM(L45:M45)</f>
        <v>46</v>
      </c>
      <c r="O45" s="11">
        <v>0</v>
      </c>
      <c r="P45" s="11">
        <v>0</v>
      </c>
      <c r="Q45" s="17">
        <f t="shared" si="49"/>
        <v>0</v>
      </c>
      <c r="R45" s="11">
        <v>0</v>
      </c>
      <c r="S45" s="11">
        <v>0</v>
      </c>
      <c r="T45" s="20">
        <f t="shared" si="44"/>
        <v>0</v>
      </c>
      <c r="U45" s="11">
        <v>4</v>
      </c>
      <c r="V45" s="11">
        <v>0</v>
      </c>
      <c r="W45" s="14">
        <f t="shared" si="51"/>
        <v>4</v>
      </c>
      <c r="X45" s="11">
        <v>6</v>
      </c>
      <c r="Y45" s="11">
        <v>4</v>
      </c>
      <c r="Z45" s="15">
        <f t="shared" si="14"/>
        <v>10</v>
      </c>
      <c r="AA45" s="11">
        <v>32</v>
      </c>
      <c r="AB45" s="11">
        <v>37</v>
      </c>
      <c r="AC45" s="16">
        <f t="shared" si="15"/>
        <v>69</v>
      </c>
      <c r="AD45" s="11">
        <v>0</v>
      </c>
      <c r="AE45" s="11">
        <v>0</v>
      </c>
      <c r="AF45" s="17">
        <f t="shared" si="45"/>
        <v>0</v>
      </c>
      <c r="AG45" s="11">
        <v>0</v>
      </c>
      <c r="AH45" s="11">
        <v>0</v>
      </c>
      <c r="AI45" s="20">
        <f t="shared" si="46"/>
        <v>0</v>
      </c>
      <c r="AJ45" s="11">
        <v>0</v>
      </c>
      <c r="AK45" s="11">
        <v>0</v>
      </c>
      <c r="AL45" s="14">
        <f t="shared" si="52"/>
        <v>0</v>
      </c>
      <c r="AM45" s="11">
        <v>2</v>
      </c>
      <c r="AN45" s="11">
        <v>1</v>
      </c>
      <c r="AO45" s="15">
        <f t="shared" si="19"/>
        <v>3</v>
      </c>
      <c r="AP45" s="11">
        <v>7</v>
      </c>
      <c r="AQ45" s="11">
        <v>8</v>
      </c>
      <c r="AR45" s="16">
        <f t="shared" si="20"/>
        <v>15</v>
      </c>
      <c r="AS45" s="11">
        <v>0</v>
      </c>
      <c r="AT45" s="11">
        <v>0</v>
      </c>
      <c r="AU45" s="17">
        <f t="shared" si="47"/>
        <v>0</v>
      </c>
      <c r="AV45" s="11">
        <v>0</v>
      </c>
      <c r="AW45" s="11">
        <v>0</v>
      </c>
      <c r="AX45" s="20">
        <f t="shared" si="48"/>
        <v>0</v>
      </c>
      <c r="AZ45" s="44">
        <f t="shared" si="23"/>
        <v>156</v>
      </c>
      <c r="BA45" s="40">
        <f t="shared" si="24"/>
        <v>4</v>
      </c>
      <c r="BB45" s="40">
        <f t="shared" si="24"/>
        <v>0</v>
      </c>
      <c r="BC45" s="40">
        <f t="shared" si="24"/>
        <v>4</v>
      </c>
      <c r="BD45" s="40">
        <f t="shared" si="25"/>
        <v>3</v>
      </c>
      <c r="BE45" s="40">
        <f t="shared" si="26"/>
        <v>14</v>
      </c>
      <c r="BF45" s="40">
        <f t="shared" si="26"/>
        <v>8</v>
      </c>
      <c r="BG45" s="40">
        <f t="shared" si="26"/>
        <v>22</v>
      </c>
      <c r="BH45" s="40">
        <f t="shared" si="27"/>
        <v>14</v>
      </c>
      <c r="BI45" s="40">
        <f t="shared" si="28"/>
        <v>62</v>
      </c>
      <c r="BJ45" s="40">
        <f t="shared" si="28"/>
        <v>68</v>
      </c>
      <c r="BK45" s="40">
        <f t="shared" si="28"/>
        <v>130</v>
      </c>
      <c r="BL45" s="40">
        <f t="shared" si="29"/>
        <v>83</v>
      </c>
      <c r="BM45" s="40">
        <f t="shared" si="30"/>
        <v>0</v>
      </c>
      <c r="BN45" s="40">
        <f t="shared" si="30"/>
        <v>0</v>
      </c>
      <c r="BO45" s="40">
        <f t="shared" si="30"/>
        <v>0</v>
      </c>
      <c r="BP45" s="40">
        <f t="shared" si="31"/>
        <v>0</v>
      </c>
      <c r="BQ45" s="40">
        <f t="shared" si="32"/>
        <v>0</v>
      </c>
      <c r="BR45" s="40">
        <f t="shared" si="32"/>
        <v>0</v>
      </c>
      <c r="BS45" s="40">
        <f t="shared" si="32"/>
        <v>0</v>
      </c>
      <c r="BT45" s="40">
        <f t="shared" si="33"/>
        <v>0</v>
      </c>
      <c r="BU45" s="40">
        <f t="shared" si="34"/>
        <v>100</v>
      </c>
    </row>
    <row r="46" spans="1:73" ht="17.25" customHeight="1" x14ac:dyDescent="0.25">
      <c r="A46" s="45">
        <v>15</v>
      </c>
      <c r="B46" s="42" t="s">
        <v>62</v>
      </c>
      <c r="C46" s="43">
        <v>79</v>
      </c>
      <c r="D46" s="11">
        <v>80</v>
      </c>
      <c r="E46" s="13">
        <f t="shared" si="7"/>
        <v>159</v>
      </c>
      <c r="F46" s="11">
        <v>0</v>
      </c>
      <c r="G46" s="11">
        <v>0</v>
      </c>
      <c r="H46" s="14">
        <f t="shared" si="50"/>
        <v>0</v>
      </c>
      <c r="I46" s="11">
        <v>2</v>
      </c>
      <c r="J46" s="11">
        <v>3</v>
      </c>
      <c r="K46" s="15">
        <f t="shared" si="9"/>
        <v>5</v>
      </c>
      <c r="L46" s="11">
        <v>25</v>
      </c>
      <c r="M46" s="11">
        <v>30</v>
      </c>
      <c r="N46" s="16">
        <f>SUM(L46:M46)</f>
        <v>55</v>
      </c>
      <c r="O46" s="11">
        <v>0</v>
      </c>
      <c r="P46" s="11">
        <v>0</v>
      </c>
      <c r="Q46" s="17">
        <f t="shared" si="49"/>
        <v>0</v>
      </c>
      <c r="R46" s="11">
        <v>0</v>
      </c>
      <c r="S46" s="11">
        <v>0</v>
      </c>
      <c r="T46" s="20">
        <f t="shared" si="44"/>
        <v>0</v>
      </c>
      <c r="U46" s="11">
        <v>0</v>
      </c>
      <c r="V46" s="11">
        <v>0</v>
      </c>
      <c r="W46" s="14">
        <v>0</v>
      </c>
      <c r="X46" s="11">
        <v>3</v>
      </c>
      <c r="Y46" s="11">
        <v>1</v>
      </c>
      <c r="Z46" s="15">
        <f t="shared" si="14"/>
        <v>4</v>
      </c>
      <c r="AA46" s="11">
        <v>46</v>
      </c>
      <c r="AB46" s="11">
        <v>43</v>
      </c>
      <c r="AC46" s="16">
        <f t="shared" si="15"/>
        <v>89</v>
      </c>
      <c r="AD46" s="11">
        <v>0</v>
      </c>
      <c r="AE46" s="11">
        <v>0</v>
      </c>
      <c r="AF46" s="17">
        <f t="shared" si="45"/>
        <v>0</v>
      </c>
      <c r="AG46" s="11">
        <v>0</v>
      </c>
      <c r="AH46" s="11">
        <v>0</v>
      </c>
      <c r="AI46" s="20">
        <f t="shared" si="46"/>
        <v>0</v>
      </c>
      <c r="AJ46" s="11">
        <v>0</v>
      </c>
      <c r="AK46" s="11">
        <v>0</v>
      </c>
      <c r="AL46" s="14">
        <f t="shared" si="52"/>
        <v>0</v>
      </c>
      <c r="AM46" s="11">
        <v>0</v>
      </c>
      <c r="AN46" s="11">
        <v>0</v>
      </c>
      <c r="AO46" s="15">
        <f t="shared" si="19"/>
        <v>0</v>
      </c>
      <c r="AP46" s="11">
        <v>4</v>
      </c>
      <c r="AQ46" s="11">
        <v>2</v>
      </c>
      <c r="AR46" s="16">
        <f t="shared" si="20"/>
        <v>6</v>
      </c>
      <c r="AS46" s="11">
        <v>0</v>
      </c>
      <c r="AT46" s="11">
        <v>0</v>
      </c>
      <c r="AU46" s="17">
        <f t="shared" si="47"/>
        <v>0</v>
      </c>
      <c r="AV46" s="11">
        <v>0</v>
      </c>
      <c r="AW46" s="11">
        <v>0</v>
      </c>
      <c r="AX46" s="20">
        <f t="shared" si="48"/>
        <v>0</v>
      </c>
      <c r="AZ46" s="44">
        <f>H46+K46+N46+Q46+T46+W46+Z46+AC46+AF46+AI46+AL46+AO46+AR46+AU46+AX46</f>
        <v>159</v>
      </c>
      <c r="BA46" s="40">
        <f t="shared" si="24"/>
        <v>0</v>
      </c>
      <c r="BB46" s="40">
        <f t="shared" si="24"/>
        <v>0</v>
      </c>
      <c r="BC46" s="40">
        <f t="shared" si="24"/>
        <v>0</v>
      </c>
      <c r="BD46" s="40">
        <f t="shared" si="25"/>
        <v>0</v>
      </c>
      <c r="BE46" s="40">
        <f t="shared" si="26"/>
        <v>5</v>
      </c>
      <c r="BF46" s="40">
        <f t="shared" si="26"/>
        <v>4</v>
      </c>
      <c r="BG46" s="40">
        <f t="shared" si="26"/>
        <v>9</v>
      </c>
      <c r="BH46" s="40">
        <f t="shared" si="27"/>
        <v>6</v>
      </c>
      <c r="BI46" s="40">
        <f t="shared" si="28"/>
        <v>75</v>
      </c>
      <c r="BJ46" s="40">
        <f t="shared" si="28"/>
        <v>75</v>
      </c>
      <c r="BK46" s="40">
        <f t="shared" si="28"/>
        <v>150</v>
      </c>
      <c r="BL46" s="40">
        <f t="shared" si="29"/>
        <v>94</v>
      </c>
      <c r="BM46" s="40">
        <f t="shared" si="30"/>
        <v>0</v>
      </c>
      <c r="BN46" s="40">
        <f t="shared" si="30"/>
        <v>0</v>
      </c>
      <c r="BO46" s="40">
        <f t="shared" si="30"/>
        <v>0</v>
      </c>
      <c r="BP46" s="40">
        <f t="shared" si="31"/>
        <v>0</v>
      </c>
      <c r="BQ46" s="40">
        <f t="shared" si="32"/>
        <v>0</v>
      </c>
      <c r="BR46" s="40">
        <f t="shared" si="32"/>
        <v>0</v>
      </c>
      <c r="BS46" s="40">
        <f t="shared" si="32"/>
        <v>0</v>
      </c>
      <c r="BT46" s="40">
        <f t="shared" si="33"/>
        <v>0</v>
      </c>
      <c r="BU46" s="40">
        <f t="shared" si="34"/>
        <v>100</v>
      </c>
    </row>
    <row r="47" spans="1:73" ht="17.25" customHeight="1" x14ac:dyDescent="0.25">
      <c r="A47" s="45">
        <v>16</v>
      </c>
      <c r="B47" s="42" t="s">
        <v>63</v>
      </c>
      <c r="C47" s="43"/>
      <c r="D47" s="11"/>
      <c r="E47" s="13"/>
      <c r="F47" s="11"/>
      <c r="G47" s="11"/>
      <c r="H47" s="14"/>
      <c r="I47" s="11"/>
      <c r="J47" s="11"/>
      <c r="K47" s="15"/>
      <c r="L47" s="11"/>
      <c r="M47" s="11"/>
      <c r="N47" s="16"/>
      <c r="O47" s="11"/>
      <c r="P47" s="11"/>
      <c r="Q47" s="17"/>
      <c r="R47" s="11"/>
      <c r="S47" s="11"/>
      <c r="T47" s="20"/>
      <c r="U47" s="11"/>
      <c r="V47" s="11"/>
      <c r="W47" s="14"/>
      <c r="X47" s="11"/>
      <c r="Y47" s="11"/>
      <c r="Z47" s="15"/>
      <c r="AA47" s="11"/>
      <c r="AB47" s="11"/>
      <c r="AC47" s="16"/>
      <c r="AD47" s="11"/>
      <c r="AE47" s="11"/>
      <c r="AF47" s="17"/>
      <c r="AG47" s="11"/>
      <c r="AH47" s="11"/>
      <c r="AI47" s="20"/>
      <c r="AJ47" s="11"/>
      <c r="AK47" s="11"/>
      <c r="AL47" s="14"/>
      <c r="AM47" s="11"/>
      <c r="AN47" s="11"/>
      <c r="AO47" s="15"/>
      <c r="AP47" s="11"/>
      <c r="AQ47" s="11"/>
      <c r="AR47" s="16"/>
      <c r="AS47" s="11"/>
      <c r="AT47" s="11"/>
      <c r="AU47" s="17"/>
      <c r="AV47" s="11"/>
      <c r="AW47" s="11"/>
      <c r="AX47" s="20"/>
      <c r="AZ47" s="44"/>
      <c r="BA47" s="40">
        <f t="shared" si="24"/>
        <v>0</v>
      </c>
      <c r="BB47" s="40">
        <f t="shared" si="24"/>
        <v>0</v>
      </c>
      <c r="BC47" s="40">
        <f t="shared" si="24"/>
        <v>0</v>
      </c>
      <c r="BD47" s="40" t="e">
        <f t="shared" si="25"/>
        <v>#DIV/0!</v>
      </c>
      <c r="BE47" s="40">
        <f t="shared" si="26"/>
        <v>0</v>
      </c>
      <c r="BF47" s="40">
        <f t="shared" si="26"/>
        <v>0</v>
      </c>
      <c r="BG47" s="40">
        <f t="shared" si="26"/>
        <v>0</v>
      </c>
      <c r="BH47" s="40" t="e">
        <f t="shared" si="27"/>
        <v>#DIV/0!</v>
      </c>
      <c r="BI47" s="40">
        <f t="shared" si="28"/>
        <v>0</v>
      </c>
      <c r="BJ47" s="40">
        <f t="shared" si="28"/>
        <v>0</v>
      </c>
      <c r="BK47" s="40">
        <f t="shared" si="28"/>
        <v>0</v>
      </c>
      <c r="BL47" s="40" t="e">
        <f t="shared" si="29"/>
        <v>#DIV/0!</v>
      </c>
      <c r="BM47" s="40">
        <f t="shared" si="30"/>
        <v>0</v>
      </c>
      <c r="BN47" s="40">
        <f t="shared" si="30"/>
        <v>0</v>
      </c>
      <c r="BO47" s="40">
        <f t="shared" si="30"/>
        <v>0</v>
      </c>
      <c r="BP47" s="40" t="e">
        <f t="shared" si="31"/>
        <v>#DIV/0!</v>
      </c>
      <c r="BQ47" s="40">
        <f t="shared" si="32"/>
        <v>0</v>
      </c>
      <c r="BR47" s="40">
        <f t="shared" si="32"/>
        <v>0</v>
      </c>
      <c r="BS47" s="40">
        <f t="shared" si="32"/>
        <v>0</v>
      </c>
      <c r="BT47" s="40" t="e">
        <f t="shared" si="33"/>
        <v>#DIV/0!</v>
      </c>
      <c r="BU47" s="40" t="e">
        <f t="shared" si="34"/>
        <v>#DIV/0!</v>
      </c>
    </row>
    <row r="48" spans="1:73" ht="17.25" customHeight="1" x14ac:dyDescent="0.25">
      <c r="A48" s="45">
        <v>17</v>
      </c>
      <c r="B48" s="42" t="s">
        <v>64</v>
      </c>
      <c r="C48" s="43"/>
      <c r="D48" s="11"/>
      <c r="E48" s="13"/>
      <c r="F48" s="11"/>
      <c r="G48" s="11"/>
      <c r="H48" s="14"/>
      <c r="I48" s="11"/>
      <c r="J48" s="11"/>
      <c r="K48" s="15"/>
      <c r="L48" s="11"/>
      <c r="M48" s="11"/>
      <c r="N48" s="16"/>
      <c r="O48" s="11"/>
      <c r="P48" s="11"/>
      <c r="Q48" s="17"/>
      <c r="R48" s="11"/>
      <c r="S48" s="11"/>
      <c r="T48" s="20"/>
      <c r="U48" s="11"/>
      <c r="V48" s="11"/>
      <c r="W48" s="14"/>
      <c r="X48" s="11"/>
      <c r="Y48" s="11"/>
      <c r="Z48" s="15"/>
      <c r="AA48" s="11"/>
      <c r="AB48" s="11"/>
      <c r="AC48" s="16"/>
      <c r="AD48" s="11"/>
      <c r="AE48" s="11"/>
      <c r="AF48" s="17"/>
      <c r="AG48" s="11"/>
      <c r="AH48" s="11"/>
      <c r="AI48" s="20"/>
      <c r="AJ48" s="11"/>
      <c r="AK48" s="11"/>
      <c r="AL48" s="14"/>
      <c r="AM48" s="11"/>
      <c r="AN48" s="11"/>
      <c r="AO48" s="15"/>
      <c r="AP48" s="11"/>
      <c r="AQ48" s="11"/>
      <c r="AR48" s="16"/>
      <c r="AS48" s="11"/>
      <c r="AT48" s="11"/>
      <c r="AU48" s="17"/>
      <c r="AV48" s="11"/>
      <c r="AW48" s="11"/>
      <c r="AX48" s="20"/>
      <c r="AZ48" s="44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</row>
    <row r="49" spans="1:73" ht="17.25" customHeight="1" x14ac:dyDescent="0.25">
      <c r="A49" s="45">
        <v>18</v>
      </c>
      <c r="B49" s="42" t="s">
        <v>65</v>
      </c>
      <c r="C49" s="43"/>
      <c r="D49" s="11"/>
      <c r="E49" s="13"/>
      <c r="F49" s="11"/>
      <c r="G49" s="11"/>
      <c r="H49" s="14"/>
      <c r="I49" s="11"/>
      <c r="J49" s="11"/>
      <c r="K49" s="15"/>
      <c r="L49" s="11"/>
      <c r="M49" s="11"/>
      <c r="N49" s="16"/>
      <c r="O49" s="11"/>
      <c r="P49" s="11"/>
      <c r="Q49" s="17"/>
      <c r="R49" s="11"/>
      <c r="S49" s="11"/>
      <c r="T49" s="20"/>
      <c r="U49" s="11"/>
      <c r="V49" s="11"/>
      <c r="W49" s="14"/>
      <c r="X49" s="11"/>
      <c r="Y49" s="11"/>
      <c r="Z49" s="15"/>
      <c r="AA49" s="11"/>
      <c r="AB49" s="11"/>
      <c r="AC49" s="16"/>
      <c r="AD49" s="11"/>
      <c r="AE49" s="11"/>
      <c r="AF49" s="17"/>
      <c r="AG49" s="11"/>
      <c r="AH49" s="11"/>
      <c r="AI49" s="20"/>
      <c r="AJ49" s="11"/>
      <c r="AK49" s="11"/>
      <c r="AL49" s="14"/>
      <c r="AM49" s="11"/>
      <c r="AN49" s="11"/>
      <c r="AO49" s="15"/>
      <c r="AP49" s="11"/>
      <c r="AQ49" s="11"/>
      <c r="AR49" s="16"/>
      <c r="AS49" s="11"/>
      <c r="AT49" s="11"/>
      <c r="AU49" s="17"/>
      <c r="AV49" s="11"/>
      <c r="AW49" s="11"/>
      <c r="AX49" s="20"/>
      <c r="AZ49" s="44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</row>
    <row r="50" spans="1:73" ht="17.25" customHeight="1" x14ac:dyDescent="0.25">
      <c r="A50" s="45">
        <v>19</v>
      </c>
      <c r="B50" s="42" t="s">
        <v>66</v>
      </c>
      <c r="C50" s="43"/>
      <c r="D50" s="11"/>
      <c r="E50" s="13"/>
      <c r="F50" s="11"/>
      <c r="G50" s="11"/>
      <c r="H50" s="14"/>
      <c r="I50" s="11"/>
      <c r="J50" s="11"/>
      <c r="K50" s="15"/>
      <c r="L50" s="11"/>
      <c r="M50" s="11"/>
      <c r="N50" s="16"/>
      <c r="O50" s="11"/>
      <c r="P50" s="11"/>
      <c r="Q50" s="17"/>
      <c r="R50" s="11"/>
      <c r="S50" s="11"/>
      <c r="T50" s="20"/>
      <c r="U50" s="11"/>
      <c r="V50" s="11"/>
      <c r="W50" s="14"/>
      <c r="X50" s="11"/>
      <c r="Y50" s="11"/>
      <c r="Z50" s="15"/>
      <c r="AA50" s="11"/>
      <c r="AB50" s="11"/>
      <c r="AC50" s="16"/>
      <c r="AD50" s="11"/>
      <c r="AE50" s="11"/>
      <c r="AF50" s="17"/>
      <c r="AG50" s="11"/>
      <c r="AH50" s="11"/>
      <c r="AI50" s="20"/>
      <c r="AJ50" s="11"/>
      <c r="AK50" s="11"/>
      <c r="AL50" s="14"/>
      <c r="AM50" s="11"/>
      <c r="AN50" s="11"/>
      <c r="AO50" s="15"/>
      <c r="AP50" s="11"/>
      <c r="AQ50" s="11"/>
      <c r="AR50" s="16"/>
      <c r="AS50" s="11"/>
      <c r="AT50" s="11"/>
      <c r="AU50" s="17"/>
      <c r="AV50" s="11"/>
      <c r="AW50" s="11"/>
      <c r="AX50" s="20"/>
      <c r="AZ50" s="44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</row>
    <row r="51" spans="1:73" ht="17.25" customHeight="1" x14ac:dyDescent="0.25">
      <c r="A51" s="45">
        <v>20</v>
      </c>
      <c r="B51" s="42" t="s">
        <v>67</v>
      </c>
      <c r="C51" s="43"/>
      <c r="D51" s="11"/>
      <c r="E51" s="13"/>
      <c r="F51" s="11"/>
      <c r="G51" s="11"/>
      <c r="H51" s="14"/>
      <c r="I51" s="11"/>
      <c r="J51" s="11"/>
      <c r="K51" s="15"/>
      <c r="L51" s="11"/>
      <c r="M51" s="11"/>
      <c r="N51" s="16"/>
      <c r="O51" s="11"/>
      <c r="P51" s="11"/>
      <c r="Q51" s="17"/>
      <c r="R51" s="11"/>
      <c r="S51" s="11"/>
      <c r="T51" s="20"/>
      <c r="U51" s="11"/>
      <c r="V51" s="11"/>
      <c r="W51" s="14"/>
      <c r="X51" s="11"/>
      <c r="Y51" s="11"/>
      <c r="Z51" s="15"/>
      <c r="AA51" s="11"/>
      <c r="AB51" s="11"/>
      <c r="AC51" s="16"/>
      <c r="AD51" s="11"/>
      <c r="AE51" s="11"/>
      <c r="AF51" s="17"/>
      <c r="AG51" s="11"/>
      <c r="AH51" s="11"/>
      <c r="AI51" s="20"/>
      <c r="AJ51" s="11"/>
      <c r="AK51" s="11"/>
      <c r="AL51" s="14"/>
      <c r="AM51" s="11"/>
      <c r="AN51" s="11"/>
      <c r="AO51" s="15"/>
      <c r="AP51" s="11"/>
      <c r="AQ51" s="11"/>
      <c r="AR51" s="16"/>
      <c r="AS51" s="11"/>
      <c r="AT51" s="11"/>
      <c r="AU51" s="17"/>
      <c r="AV51" s="11"/>
      <c r="AW51" s="11"/>
      <c r="AX51" s="20"/>
      <c r="AZ51" s="44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</row>
    <row r="52" spans="1:73" ht="17.25" customHeight="1" x14ac:dyDescent="0.25">
      <c r="A52" s="45">
        <v>21</v>
      </c>
      <c r="B52" s="42" t="s">
        <v>68</v>
      </c>
      <c r="C52" s="43"/>
      <c r="D52" s="11"/>
      <c r="E52" s="13"/>
      <c r="F52" s="11"/>
      <c r="G52" s="11"/>
      <c r="H52" s="14"/>
      <c r="I52" s="11"/>
      <c r="J52" s="11"/>
      <c r="K52" s="15"/>
      <c r="L52" s="11"/>
      <c r="M52" s="11"/>
      <c r="N52" s="16"/>
      <c r="O52" s="11"/>
      <c r="P52" s="11"/>
      <c r="Q52" s="17"/>
      <c r="R52" s="11"/>
      <c r="S52" s="11"/>
      <c r="T52" s="20"/>
      <c r="U52" s="11"/>
      <c r="V52" s="11"/>
      <c r="W52" s="14"/>
      <c r="X52" s="11"/>
      <c r="Y52" s="11"/>
      <c r="Z52" s="15"/>
      <c r="AA52" s="11"/>
      <c r="AB52" s="11"/>
      <c r="AC52" s="16"/>
      <c r="AD52" s="11"/>
      <c r="AE52" s="11"/>
      <c r="AF52" s="17"/>
      <c r="AG52" s="11"/>
      <c r="AH52" s="11"/>
      <c r="AI52" s="20"/>
      <c r="AJ52" s="11"/>
      <c r="AK52" s="11"/>
      <c r="AL52" s="14"/>
      <c r="AM52" s="11"/>
      <c r="AN52" s="11"/>
      <c r="AO52" s="15"/>
      <c r="AP52" s="11"/>
      <c r="AQ52" s="11"/>
      <c r="AR52" s="16"/>
      <c r="AS52" s="11"/>
      <c r="AT52" s="11"/>
      <c r="AU52" s="17"/>
      <c r="AV52" s="11"/>
      <c r="AW52" s="11"/>
      <c r="AX52" s="20"/>
      <c r="AZ52" s="44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</row>
    <row r="53" spans="1:73" ht="17.25" customHeight="1" x14ac:dyDescent="0.25">
      <c r="A53" s="45">
        <v>22</v>
      </c>
      <c r="B53" s="42" t="s">
        <v>69</v>
      </c>
      <c r="C53" s="43"/>
      <c r="D53" s="11"/>
      <c r="E53" s="13"/>
      <c r="F53" s="11"/>
      <c r="G53" s="11"/>
      <c r="H53" s="14"/>
      <c r="I53" s="11"/>
      <c r="J53" s="11"/>
      <c r="K53" s="15"/>
      <c r="L53" s="11"/>
      <c r="M53" s="11"/>
      <c r="N53" s="16"/>
      <c r="O53" s="11"/>
      <c r="P53" s="11"/>
      <c r="Q53" s="17"/>
      <c r="R53" s="11"/>
      <c r="S53" s="11"/>
      <c r="T53" s="20"/>
      <c r="U53" s="11"/>
      <c r="V53" s="11"/>
      <c r="W53" s="14"/>
      <c r="X53" s="11"/>
      <c r="Y53" s="11"/>
      <c r="Z53" s="15"/>
      <c r="AA53" s="11"/>
      <c r="AB53" s="11"/>
      <c r="AC53" s="16"/>
      <c r="AD53" s="11"/>
      <c r="AE53" s="11"/>
      <c r="AF53" s="17"/>
      <c r="AG53" s="11"/>
      <c r="AH53" s="11"/>
      <c r="AI53" s="20"/>
      <c r="AJ53" s="11"/>
      <c r="AK53" s="11"/>
      <c r="AL53" s="14"/>
      <c r="AM53" s="11"/>
      <c r="AN53" s="11"/>
      <c r="AO53" s="15"/>
      <c r="AP53" s="11"/>
      <c r="AQ53" s="11"/>
      <c r="AR53" s="16"/>
      <c r="AS53" s="11"/>
      <c r="AT53" s="11"/>
      <c r="AU53" s="17"/>
      <c r="AV53" s="11"/>
      <c r="AW53" s="11"/>
      <c r="AX53" s="20"/>
      <c r="AZ53" s="44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</row>
    <row r="54" spans="1:73" ht="17.25" customHeight="1" x14ac:dyDescent="0.25">
      <c r="A54" s="45">
        <v>23</v>
      </c>
      <c r="B54" s="42" t="s">
        <v>70</v>
      </c>
      <c r="C54" s="43"/>
      <c r="D54" s="11"/>
      <c r="E54" s="13"/>
      <c r="F54" s="11"/>
      <c r="G54" s="11"/>
      <c r="H54" s="14"/>
      <c r="I54" s="11"/>
      <c r="J54" s="11"/>
      <c r="K54" s="15"/>
      <c r="L54" s="11"/>
      <c r="M54" s="11"/>
      <c r="N54" s="16"/>
      <c r="O54" s="11"/>
      <c r="P54" s="11"/>
      <c r="Q54" s="17"/>
      <c r="R54" s="11"/>
      <c r="S54" s="11"/>
      <c r="T54" s="20"/>
      <c r="U54" s="11"/>
      <c r="V54" s="11"/>
      <c r="W54" s="14"/>
      <c r="X54" s="11"/>
      <c r="Y54" s="11"/>
      <c r="Z54" s="15"/>
      <c r="AA54" s="11"/>
      <c r="AB54" s="11"/>
      <c r="AC54" s="16"/>
      <c r="AD54" s="11"/>
      <c r="AE54" s="11"/>
      <c r="AF54" s="17"/>
      <c r="AG54" s="11"/>
      <c r="AH54" s="11"/>
      <c r="AI54" s="20"/>
      <c r="AJ54" s="11"/>
      <c r="AK54" s="11"/>
      <c r="AL54" s="14"/>
      <c r="AM54" s="11"/>
      <c r="AN54" s="11"/>
      <c r="AO54" s="15"/>
      <c r="AP54" s="11"/>
      <c r="AQ54" s="11"/>
      <c r="AR54" s="16"/>
      <c r="AS54" s="11"/>
      <c r="AT54" s="11"/>
      <c r="AU54" s="17"/>
      <c r="AV54" s="11"/>
      <c r="AW54" s="11"/>
      <c r="AX54" s="20"/>
      <c r="AZ54" s="44"/>
      <c r="BA54" s="40">
        <f t="shared" si="24"/>
        <v>0</v>
      </c>
      <c r="BB54" s="40">
        <f t="shared" si="24"/>
        <v>0</v>
      </c>
      <c r="BC54" s="40">
        <f t="shared" si="24"/>
        <v>0</v>
      </c>
      <c r="BD54" s="40" t="e">
        <f t="shared" si="25"/>
        <v>#DIV/0!</v>
      </c>
      <c r="BE54" s="40">
        <f t="shared" si="26"/>
        <v>0</v>
      </c>
      <c r="BF54" s="40">
        <f t="shared" si="26"/>
        <v>0</v>
      </c>
      <c r="BG54" s="40">
        <f t="shared" si="26"/>
        <v>0</v>
      </c>
      <c r="BH54" s="40" t="e">
        <f t="shared" si="27"/>
        <v>#DIV/0!</v>
      </c>
      <c r="BI54" s="40">
        <f t="shared" si="28"/>
        <v>0</v>
      </c>
      <c r="BJ54" s="40">
        <f t="shared" si="28"/>
        <v>0</v>
      </c>
      <c r="BK54" s="40">
        <f t="shared" si="28"/>
        <v>0</v>
      </c>
      <c r="BL54" s="40" t="e">
        <f t="shared" si="29"/>
        <v>#DIV/0!</v>
      </c>
      <c r="BM54" s="40">
        <f t="shared" si="30"/>
        <v>0</v>
      </c>
      <c r="BN54" s="40">
        <f t="shared" si="30"/>
        <v>0</v>
      </c>
      <c r="BO54" s="40">
        <f t="shared" si="30"/>
        <v>0</v>
      </c>
      <c r="BP54" s="40" t="e">
        <f t="shared" si="31"/>
        <v>#DIV/0!</v>
      </c>
      <c r="BQ54" s="40">
        <f t="shared" si="32"/>
        <v>0</v>
      </c>
      <c r="BR54" s="40">
        <f t="shared" si="32"/>
        <v>0</v>
      </c>
      <c r="BS54" s="40">
        <f t="shared" si="32"/>
        <v>0</v>
      </c>
      <c r="BT54" s="40" t="e">
        <f t="shared" si="33"/>
        <v>#DIV/0!</v>
      </c>
      <c r="BU54" s="40" t="e">
        <f t="shared" si="34"/>
        <v>#DIV/0!</v>
      </c>
    </row>
    <row r="55" spans="1:73" ht="17.25" customHeight="1" x14ac:dyDescent="0.25">
      <c r="A55" s="45">
        <v>24</v>
      </c>
      <c r="B55" s="42" t="s">
        <v>71</v>
      </c>
      <c r="C55" s="43"/>
      <c r="D55" s="11"/>
      <c r="E55" s="13"/>
      <c r="F55" s="11"/>
      <c r="G55" s="11"/>
      <c r="H55" s="14"/>
      <c r="I55" s="11"/>
      <c r="J55" s="11"/>
      <c r="K55" s="15"/>
      <c r="L55" s="11"/>
      <c r="M55" s="11"/>
      <c r="N55" s="16"/>
      <c r="O55" s="11"/>
      <c r="P55" s="11"/>
      <c r="Q55" s="17"/>
      <c r="R55" s="11"/>
      <c r="S55" s="11"/>
      <c r="T55" s="20"/>
      <c r="U55" s="11"/>
      <c r="V55" s="11"/>
      <c r="W55" s="14"/>
      <c r="X55" s="11"/>
      <c r="Y55" s="11"/>
      <c r="Z55" s="15"/>
      <c r="AA55" s="11"/>
      <c r="AB55" s="11"/>
      <c r="AC55" s="16"/>
      <c r="AD55" s="11"/>
      <c r="AE55" s="11"/>
      <c r="AF55" s="17"/>
      <c r="AG55" s="11"/>
      <c r="AH55" s="11"/>
      <c r="AI55" s="20"/>
      <c r="AJ55" s="11"/>
      <c r="AK55" s="11"/>
      <c r="AL55" s="14"/>
      <c r="AM55" s="11"/>
      <c r="AN55" s="11"/>
      <c r="AO55" s="15"/>
      <c r="AP55" s="11"/>
      <c r="AQ55" s="11"/>
      <c r="AR55" s="16"/>
      <c r="AS55" s="11"/>
      <c r="AT55" s="11"/>
      <c r="AU55" s="17"/>
      <c r="AV55" s="11"/>
      <c r="AW55" s="11"/>
      <c r="AX55" s="20"/>
      <c r="AZ55" s="44"/>
      <c r="BA55" s="40">
        <f t="shared" si="24"/>
        <v>0</v>
      </c>
      <c r="BB55" s="40">
        <f t="shared" si="24"/>
        <v>0</v>
      </c>
      <c r="BC55" s="40">
        <f t="shared" si="24"/>
        <v>0</v>
      </c>
      <c r="BD55" s="40" t="e">
        <f t="shared" si="25"/>
        <v>#DIV/0!</v>
      </c>
      <c r="BE55" s="40">
        <f t="shared" si="26"/>
        <v>0</v>
      </c>
      <c r="BF55" s="40">
        <f t="shared" si="26"/>
        <v>0</v>
      </c>
      <c r="BG55" s="40">
        <f t="shared" si="26"/>
        <v>0</v>
      </c>
      <c r="BH55" s="40" t="e">
        <f t="shared" si="27"/>
        <v>#DIV/0!</v>
      </c>
      <c r="BI55" s="40">
        <f t="shared" si="28"/>
        <v>0</v>
      </c>
      <c r="BJ55" s="40">
        <f t="shared" si="28"/>
        <v>0</v>
      </c>
      <c r="BK55" s="40">
        <f t="shared" si="28"/>
        <v>0</v>
      </c>
      <c r="BL55" s="40" t="e">
        <f t="shared" si="29"/>
        <v>#DIV/0!</v>
      </c>
      <c r="BM55" s="40">
        <f t="shared" si="30"/>
        <v>0</v>
      </c>
      <c r="BN55" s="40">
        <f t="shared" si="30"/>
        <v>0</v>
      </c>
      <c r="BO55" s="40">
        <f t="shared" si="30"/>
        <v>0</v>
      </c>
      <c r="BP55" s="40" t="e">
        <f t="shared" si="31"/>
        <v>#DIV/0!</v>
      </c>
      <c r="BQ55" s="40">
        <f t="shared" si="32"/>
        <v>0</v>
      </c>
      <c r="BR55" s="40">
        <f t="shared" si="32"/>
        <v>0</v>
      </c>
      <c r="BS55" s="40">
        <f t="shared" si="32"/>
        <v>0</v>
      </c>
      <c r="BT55" s="40" t="e">
        <f t="shared" si="33"/>
        <v>#DIV/0!</v>
      </c>
      <c r="BU55" s="40" t="e">
        <f t="shared" si="34"/>
        <v>#DIV/0!</v>
      </c>
    </row>
    <row r="56" spans="1:73" ht="17.25" customHeight="1" x14ac:dyDescent="0.3">
      <c r="A56" s="45">
        <v>25</v>
      </c>
      <c r="B56" s="46"/>
      <c r="C56" s="43"/>
      <c r="D56" s="11"/>
      <c r="E56" s="13"/>
      <c r="F56" s="11"/>
      <c r="G56" s="11"/>
      <c r="H56" s="14"/>
      <c r="I56" s="11"/>
      <c r="J56" s="11"/>
      <c r="K56" s="15"/>
      <c r="L56" s="11"/>
      <c r="M56" s="11"/>
      <c r="N56" s="16"/>
      <c r="O56" s="11"/>
      <c r="P56" s="11"/>
      <c r="Q56" s="17"/>
      <c r="R56" s="11"/>
      <c r="S56" s="11"/>
      <c r="T56" s="20"/>
      <c r="U56" s="11"/>
      <c r="V56" s="11"/>
      <c r="W56" s="14"/>
      <c r="X56" s="11"/>
      <c r="Y56" s="11"/>
      <c r="Z56" s="15"/>
      <c r="AA56" s="11"/>
      <c r="AB56" s="11"/>
      <c r="AC56" s="16"/>
      <c r="AD56" s="11"/>
      <c r="AE56" s="11"/>
      <c r="AF56" s="17"/>
      <c r="AG56" s="11"/>
      <c r="AH56" s="11"/>
      <c r="AI56" s="20"/>
      <c r="AJ56" s="11"/>
      <c r="AK56" s="11"/>
      <c r="AL56" s="14"/>
      <c r="AM56" s="11"/>
      <c r="AN56" s="11"/>
      <c r="AO56" s="15"/>
      <c r="AP56" s="11"/>
      <c r="AQ56" s="11"/>
      <c r="AR56" s="16"/>
      <c r="AS56" s="11"/>
      <c r="AT56" s="11"/>
      <c r="AU56" s="17"/>
      <c r="AV56" s="11"/>
      <c r="AW56" s="11"/>
      <c r="AX56" s="20"/>
      <c r="AZ56" s="44"/>
      <c r="BA56" s="40">
        <f t="shared" si="24"/>
        <v>0</v>
      </c>
      <c r="BB56" s="40">
        <f t="shared" si="24"/>
        <v>0</v>
      </c>
      <c r="BC56" s="40">
        <f t="shared" si="24"/>
        <v>0</v>
      </c>
      <c r="BD56" s="40" t="e">
        <f t="shared" si="25"/>
        <v>#DIV/0!</v>
      </c>
      <c r="BE56" s="40">
        <f t="shared" si="26"/>
        <v>0</v>
      </c>
      <c r="BF56" s="40">
        <f t="shared" si="26"/>
        <v>0</v>
      </c>
      <c r="BG56" s="40">
        <f t="shared" si="26"/>
        <v>0</v>
      </c>
      <c r="BH56" s="40" t="e">
        <f t="shared" si="27"/>
        <v>#DIV/0!</v>
      </c>
      <c r="BI56" s="40">
        <f t="shared" si="28"/>
        <v>0</v>
      </c>
      <c r="BJ56" s="40">
        <f t="shared" si="28"/>
        <v>0</v>
      </c>
      <c r="BK56" s="40">
        <f t="shared" si="28"/>
        <v>0</v>
      </c>
      <c r="BL56" s="40" t="e">
        <f t="shared" si="29"/>
        <v>#DIV/0!</v>
      </c>
      <c r="BM56" s="40">
        <f t="shared" si="30"/>
        <v>0</v>
      </c>
      <c r="BN56" s="40">
        <f t="shared" si="30"/>
        <v>0</v>
      </c>
      <c r="BO56" s="40">
        <f t="shared" si="30"/>
        <v>0</v>
      </c>
      <c r="BP56" s="40" t="e">
        <f t="shared" si="31"/>
        <v>#DIV/0!</v>
      </c>
      <c r="BQ56" s="40">
        <f t="shared" si="32"/>
        <v>0</v>
      </c>
      <c r="BR56" s="40">
        <f t="shared" si="32"/>
        <v>0</v>
      </c>
      <c r="BS56" s="40">
        <f t="shared" si="32"/>
        <v>0</v>
      </c>
      <c r="BT56" s="40" t="e">
        <f t="shared" si="33"/>
        <v>#DIV/0!</v>
      </c>
      <c r="BU56" s="40" t="e">
        <f t="shared" si="34"/>
        <v>#DIV/0!</v>
      </c>
    </row>
    <row r="57" spans="1:73" ht="17.25" customHeight="1" x14ac:dyDescent="0.3">
      <c r="A57" s="45">
        <v>26</v>
      </c>
      <c r="B57" s="46"/>
      <c r="C57" s="43"/>
      <c r="D57" s="11"/>
      <c r="E57" s="13"/>
      <c r="F57" s="11"/>
      <c r="G57" s="11"/>
      <c r="H57" s="14"/>
      <c r="I57" s="11"/>
      <c r="J57" s="11"/>
      <c r="K57" s="15"/>
      <c r="L57" s="11"/>
      <c r="M57" s="11"/>
      <c r="N57" s="16"/>
      <c r="O57" s="11"/>
      <c r="P57" s="11"/>
      <c r="Q57" s="17"/>
      <c r="R57" s="11"/>
      <c r="S57" s="11"/>
      <c r="T57" s="20"/>
      <c r="U57" s="11"/>
      <c r="V57" s="11"/>
      <c r="W57" s="14"/>
      <c r="X57" s="11"/>
      <c r="Y57" s="11"/>
      <c r="Z57" s="15"/>
      <c r="AA57" s="11"/>
      <c r="AB57" s="11"/>
      <c r="AC57" s="16"/>
      <c r="AD57" s="11"/>
      <c r="AE57" s="11"/>
      <c r="AF57" s="17"/>
      <c r="AG57" s="11"/>
      <c r="AH57" s="11"/>
      <c r="AI57" s="20"/>
      <c r="AJ57" s="11"/>
      <c r="AK57" s="11"/>
      <c r="AL57" s="14"/>
      <c r="AM57" s="11"/>
      <c r="AN57" s="11"/>
      <c r="AO57" s="15"/>
      <c r="AP57" s="11"/>
      <c r="AQ57" s="11"/>
      <c r="AR57" s="16"/>
      <c r="AS57" s="11"/>
      <c r="AT57" s="11"/>
      <c r="AU57" s="17"/>
      <c r="AV57" s="11"/>
      <c r="AW57" s="11"/>
      <c r="AX57" s="20"/>
      <c r="AZ57" s="44"/>
      <c r="BA57" s="40">
        <f t="shared" si="24"/>
        <v>0</v>
      </c>
      <c r="BB57" s="40">
        <f t="shared" si="24"/>
        <v>0</v>
      </c>
      <c r="BC57" s="40">
        <f t="shared" si="24"/>
        <v>0</v>
      </c>
      <c r="BD57" s="40" t="e">
        <f t="shared" si="25"/>
        <v>#DIV/0!</v>
      </c>
      <c r="BE57" s="40">
        <f t="shared" si="26"/>
        <v>0</v>
      </c>
      <c r="BF57" s="40">
        <f t="shared" si="26"/>
        <v>0</v>
      </c>
      <c r="BG57" s="40">
        <f t="shared" si="26"/>
        <v>0</v>
      </c>
      <c r="BH57" s="40" t="e">
        <f t="shared" si="27"/>
        <v>#DIV/0!</v>
      </c>
      <c r="BI57" s="40">
        <f t="shared" si="28"/>
        <v>0</v>
      </c>
      <c r="BJ57" s="40">
        <f t="shared" si="28"/>
        <v>0</v>
      </c>
      <c r="BK57" s="40">
        <f t="shared" si="28"/>
        <v>0</v>
      </c>
      <c r="BL57" s="40" t="e">
        <f t="shared" si="29"/>
        <v>#DIV/0!</v>
      </c>
      <c r="BM57" s="40">
        <f t="shared" si="30"/>
        <v>0</v>
      </c>
      <c r="BN57" s="40">
        <f t="shared" si="30"/>
        <v>0</v>
      </c>
      <c r="BO57" s="40">
        <f t="shared" si="30"/>
        <v>0</v>
      </c>
      <c r="BP57" s="40" t="e">
        <f t="shared" si="31"/>
        <v>#DIV/0!</v>
      </c>
      <c r="BQ57" s="40">
        <f t="shared" si="32"/>
        <v>0</v>
      </c>
      <c r="BR57" s="40">
        <f t="shared" si="32"/>
        <v>0</v>
      </c>
      <c r="BS57" s="40">
        <f t="shared" si="32"/>
        <v>0</v>
      </c>
      <c r="BT57" s="40" t="e">
        <f t="shared" si="33"/>
        <v>#DIV/0!</v>
      </c>
      <c r="BU57" s="40" t="e">
        <f t="shared" si="34"/>
        <v>#DIV/0!</v>
      </c>
    </row>
    <row r="58" spans="1:73" ht="17.25" customHeight="1" x14ac:dyDescent="0.3">
      <c r="A58" s="47" t="s">
        <v>13</v>
      </c>
      <c r="B58" s="2"/>
      <c r="C58" s="23">
        <f t="shared" ref="C58:AX58" si="53">SUM(C32:C46)</f>
        <v>1080</v>
      </c>
      <c r="D58" s="23">
        <f t="shared" si="53"/>
        <v>1091</v>
      </c>
      <c r="E58" s="23">
        <f t="shared" si="53"/>
        <v>2171</v>
      </c>
      <c r="F58" s="23">
        <f t="shared" si="53"/>
        <v>36</v>
      </c>
      <c r="G58" s="23">
        <f t="shared" si="53"/>
        <v>17</v>
      </c>
      <c r="H58" s="23">
        <f t="shared" si="53"/>
        <v>53</v>
      </c>
      <c r="I58" s="23">
        <f t="shared" si="53"/>
        <v>53</v>
      </c>
      <c r="J58" s="23">
        <f t="shared" si="53"/>
        <v>47</v>
      </c>
      <c r="K58" s="23">
        <f t="shared" si="53"/>
        <v>100</v>
      </c>
      <c r="L58" s="23">
        <f t="shared" si="53"/>
        <v>348</v>
      </c>
      <c r="M58" s="23">
        <f t="shared" si="53"/>
        <v>445</v>
      </c>
      <c r="N58" s="23">
        <f t="shared" si="53"/>
        <v>793</v>
      </c>
      <c r="O58" s="23">
        <f t="shared" si="53"/>
        <v>1</v>
      </c>
      <c r="P58" s="23">
        <f t="shared" si="53"/>
        <v>4</v>
      </c>
      <c r="Q58" s="23">
        <f t="shared" si="53"/>
        <v>5</v>
      </c>
      <c r="R58" s="23">
        <f t="shared" si="53"/>
        <v>0</v>
      </c>
      <c r="S58" s="24">
        <f t="shared" si="53"/>
        <v>0</v>
      </c>
      <c r="T58" s="23">
        <f t="shared" si="53"/>
        <v>0</v>
      </c>
      <c r="U58" s="23">
        <f t="shared" si="53"/>
        <v>57</v>
      </c>
      <c r="V58" s="23">
        <f t="shared" si="53"/>
        <v>26</v>
      </c>
      <c r="W58" s="23">
        <f t="shared" si="53"/>
        <v>83</v>
      </c>
      <c r="X58" s="23">
        <f t="shared" si="53"/>
        <v>95</v>
      </c>
      <c r="Y58" s="23">
        <f t="shared" si="53"/>
        <v>63</v>
      </c>
      <c r="Z58" s="23">
        <f t="shared" si="53"/>
        <v>158</v>
      </c>
      <c r="AA58" s="23">
        <f t="shared" si="53"/>
        <v>410</v>
      </c>
      <c r="AB58" s="23">
        <f t="shared" si="53"/>
        <v>430</v>
      </c>
      <c r="AC58" s="23">
        <f t="shared" si="53"/>
        <v>840</v>
      </c>
      <c r="AD58" s="23">
        <f t="shared" si="53"/>
        <v>0</v>
      </c>
      <c r="AE58" s="23">
        <f t="shared" si="53"/>
        <v>0</v>
      </c>
      <c r="AF58" s="23">
        <f t="shared" si="53"/>
        <v>0</v>
      </c>
      <c r="AG58" s="23">
        <f t="shared" si="53"/>
        <v>0</v>
      </c>
      <c r="AH58" s="24">
        <f t="shared" si="53"/>
        <v>0</v>
      </c>
      <c r="AI58" s="23">
        <f t="shared" si="53"/>
        <v>0</v>
      </c>
      <c r="AJ58" s="23">
        <f t="shared" si="53"/>
        <v>7</v>
      </c>
      <c r="AK58" s="23">
        <f t="shared" si="53"/>
        <v>5</v>
      </c>
      <c r="AL58" s="23">
        <f t="shared" si="53"/>
        <v>12</v>
      </c>
      <c r="AM58" s="23">
        <f t="shared" si="53"/>
        <v>12</v>
      </c>
      <c r="AN58" s="23">
        <f t="shared" si="53"/>
        <v>6</v>
      </c>
      <c r="AO58" s="23">
        <f t="shared" si="53"/>
        <v>18</v>
      </c>
      <c r="AP58" s="23">
        <f t="shared" si="53"/>
        <v>66</v>
      </c>
      <c r="AQ58" s="23">
        <f t="shared" si="53"/>
        <v>43</v>
      </c>
      <c r="AR58" s="23">
        <f t="shared" si="53"/>
        <v>109</v>
      </c>
      <c r="AS58" s="23">
        <f t="shared" si="53"/>
        <v>0</v>
      </c>
      <c r="AT58" s="23">
        <f t="shared" si="53"/>
        <v>0</v>
      </c>
      <c r="AU58" s="23">
        <f t="shared" si="53"/>
        <v>0</v>
      </c>
      <c r="AV58" s="23">
        <f t="shared" si="53"/>
        <v>0</v>
      </c>
      <c r="AW58" s="24">
        <f t="shared" si="53"/>
        <v>0</v>
      </c>
      <c r="AX58" s="23">
        <f t="shared" si="53"/>
        <v>0</v>
      </c>
      <c r="AZ58" s="48">
        <f t="shared" si="23"/>
        <v>2171</v>
      </c>
      <c r="BA58" s="40">
        <f t="shared" ref="BA58:BC58" si="54">F58+U58+AJ58</f>
        <v>100</v>
      </c>
      <c r="BB58" s="40">
        <f t="shared" si="54"/>
        <v>48</v>
      </c>
      <c r="BC58" s="40">
        <f t="shared" si="54"/>
        <v>148</v>
      </c>
      <c r="BD58" s="40">
        <f t="shared" si="25"/>
        <v>7</v>
      </c>
      <c r="BE58" s="40">
        <f t="shared" ref="BE58:BG58" si="55">I58+X58+AM58</f>
        <v>160</v>
      </c>
      <c r="BF58" s="40">
        <f t="shared" si="55"/>
        <v>116</v>
      </c>
      <c r="BG58" s="40">
        <f t="shared" si="55"/>
        <v>276</v>
      </c>
      <c r="BH58" s="40">
        <f t="shared" si="27"/>
        <v>13</v>
      </c>
      <c r="BI58" s="40">
        <f t="shared" ref="BI58:BK58" si="56">L58+AA58+AP58</f>
        <v>824</v>
      </c>
      <c r="BJ58" s="40">
        <f t="shared" si="56"/>
        <v>918</v>
      </c>
      <c r="BK58" s="40">
        <f t="shared" si="56"/>
        <v>1742</v>
      </c>
      <c r="BL58" s="40">
        <f t="shared" si="29"/>
        <v>80</v>
      </c>
      <c r="BM58" s="40">
        <f t="shared" ref="BM58:BO58" si="57">O58+AD58+AS58</f>
        <v>1</v>
      </c>
      <c r="BN58" s="40">
        <f t="shared" si="57"/>
        <v>4</v>
      </c>
      <c r="BO58" s="40">
        <f t="shared" si="57"/>
        <v>5</v>
      </c>
      <c r="BP58" s="40">
        <f t="shared" si="31"/>
        <v>0</v>
      </c>
      <c r="BQ58" s="40">
        <f t="shared" ref="BQ58:BS58" si="58">R58+AG58+AV58</f>
        <v>0</v>
      </c>
      <c r="BR58" s="40">
        <f t="shared" si="58"/>
        <v>0</v>
      </c>
      <c r="BS58" s="40">
        <f t="shared" si="58"/>
        <v>0</v>
      </c>
      <c r="BT58" s="40">
        <f t="shared" si="33"/>
        <v>0</v>
      </c>
      <c r="BU58" s="40">
        <f t="shared" si="34"/>
        <v>100</v>
      </c>
    </row>
    <row r="59" spans="1:73" ht="15.75" customHeight="1" x14ac:dyDescent="0.25"/>
    <row r="60" spans="1:73" ht="15.75" customHeight="1" x14ac:dyDescent="0.25"/>
    <row r="61" spans="1:73" ht="15.75" customHeight="1" x14ac:dyDescent="0.25"/>
    <row r="62" spans="1:73" ht="15.75" customHeight="1" x14ac:dyDescent="0.25"/>
    <row r="63" spans="1:73" ht="15.75" customHeight="1" x14ac:dyDescent="0.25"/>
    <row r="64" spans="1:73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5" customHeight="1" x14ac:dyDescent="0.25"/>
    <row r="978" customFormat="1" ht="15" customHeight="1" x14ac:dyDescent="0.25"/>
    <row r="979" customFormat="1" ht="15" customHeight="1" x14ac:dyDescent="0.25"/>
    <row r="980" customFormat="1" ht="15" customHeight="1" x14ac:dyDescent="0.25"/>
    <row r="981" customFormat="1" ht="15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customFormat="1" ht="15" customHeight="1" x14ac:dyDescent="0.25"/>
    <row r="994" customFormat="1" ht="15" customHeight="1" x14ac:dyDescent="0.25"/>
  </sheetData>
  <mergeCells count="44">
    <mergeCell ref="A28:AZ28"/>
    <mergeCell ref="A1:T1"/>
    <mergeCell ref="A2:T2"/>
    <mergeCell ref="A3:T3"/>
    <mergeCell ref="A5:A6"/>
    <mergeCell ref="B5:B6"/>
    <mergeCell ref="C5:E5"/>
    <mergeCell ref="F5:H5"/>
    <mergeCell ref="I5:K5"/>
    <mergeCell ref="L5:N5"/>
    <mergeCell ref="O5:Q5"/>
    <mergeCell ref="R5:T5"/>
    <mergeCell ref="A23:B23"/>
    <mergeCell ref="A25:AZ25"/>
    <mergeCell ref="A26:AZ26"/>
    <mergeCell ref="A27:AZ27"/>
    <mergeCell ref="U30:W30"/>
    <mergeCell ref="X30:Z30"/>
    <mergeCell ref="AA30:AC30"/>
    <mergeCell ref="A29:A31"/>
    <mergeCell ref="B29:B31"/>
    <mergeCell ref="C29:E30"/>
    <mergeCell ref="F29:T29"/>
    <mergeCell ref="U29:AI29"/>
    <mergeCell ref="AD30:AF30"/>
    <mergeCell ref="AG30:AI30"/>
    <mergeCell ref="F30:H30"/>
    <mergeCell ref="I30:K30"/>
    <mergeCell ref="L30:N30"/>
    <mergeCell ref="O30:Q30"/>
    <mergeCell ref="R30:T30"/>
    <mergeCell ref="BM30:BP30"/>
    <mergeCell ref="BQ30:BT30"/>
    <mergeCell ref="AP30:AR30"/>
    <mergeCell ref="AS30:AU30"/>
    <mergeCell ref="AV30:AX30"/>
    <mergeCell ref="BA30:BD30"/>
    <mergeCell ref="BE30:BH30"/>
    <mergeCell ref="BI30:BL30"/>
    <mergeCell ref="AZ29:AZ31"/>
    <mergeCell ref="BA29:BU29"/>
    <mergeCell ref="AJ29:AX29"/>
    <mergeCell ref="AJ30:AL30"/>
    <mergeCell ref="AM30:AO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dcsi.rein@gmail.com</dc:creator>
  <cp:lastModifiedBy>dcsi.rein@gmail.com</cp:lastModifiedBy>
  <dcterms:created xsi:type="dcterms:W3CDTF">2026-10-22T14:20:34Z</dcterms:created>
  <dcterms:modified xsi:type="dcterms:W3CDTF">2026-10-22T14:38:41Z</dcterms:modified>
</cp:coreProperties>
</file>